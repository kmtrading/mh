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mtfr-my.sharepoint.com/personal/pmasina_kmtrading_fr/Documents/Supports de cours/PowerBI/"/>
    </mc:Choice>
  </mc:AlternateContent>
  <xr:revisionPtr revIDLastSave="7" documentId="8_{7BA8F8F1-770B-4CB0-A485-C0048DBAAACD}" xr6:coauthVersionLast="47" xr6:coauthVersionMax="47" xr10:uidLastSave="{7735F894-B507-4807-90FB-C71A4D649135}"/>
  <bookViews>
    <workbookView xWindow="-23148" yWindow="-108" windowWidth="23256" windowHeight="12576" xr2:uid="{F5810566-0DF9-4F04-A82F-6EF23B3E754C}"/>
  </bookViews>
  <sheets>
    <sheet name="Customer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2" i="1"/>
</calcChain>
</file>

<file path=xl/sharedStrings.xml><?xml version="1.0" encoding="utf-8"?>
<sst xmlns="http://schemas.openxmlformats.org/spreadsheetml/2006/main" count="956" uniqueCount="677">
  <si>
    <t>CustomerID</t>
  </si>
  <si>
    <t>CompanyName</t>
  </si>
  <si>
    <t>ContactName</t>
  </si>
  <si>
    <t>ContactTitle</t>
  </si>
  <si>
    <t>Address</t>
  </si>
  <si>
    <t>City</t>
  </si>
  <si>
    <t>Region</t>
  </si>
  <si>
    <t>PostalCode</t>
  </si>
  <si>
    <t>Country</t>
  </si>
  <si>
    <t>Phone</t>
  </si>
  <si>
    <t>Fax</t>
  </si>
  <si>
    <t>ABCDE</t>
  </si>
  <si>
    <t>Alfreds Futterkiste</t>
  </si>
  <si>
    <t>NULL</t>
  </si>
  <si>
    <t>Germany</t>
  </si>
  <si>
    <t>ALFKI</t>
  </si>
  <si>
    <t>Maria Anders</t>
  </si>
  <si>
    <t>Sales Representative</t>
  </si>
  <si>
    <t>Obere Str. 57</t>
  </si>
  <si>
    <t>Berlin</t>
  </si>
  <si>
    <t>030-0074321</t>
  </si>
  <si>
    <t>030-0076545</t>
  </si>
  <si>
    <t>ANATR</t>
  </si>
  <si>
    <t>Ana Trujillo Emparedados y helados</t>
  </si>
  <si>
    <t>Ana Trujillo</t>
  </si>
  <si>
    <t>Owner</t>
  </si>
  <si>
    <t>Avda. de la Constitución 2222</t>
  </si>
  <si>
    <t>México D.F.</t>
  </si>
  <si>
    <t>Mexico</t>
  </si>
  <si>
    <t>(5) 555-4729</t>
  </si>
  <si>
    <t>(5) 555-3745</t>
  </si>
  <si>
    <t>ANTON</t>
  </si>
  <si>
    <t>Antonio Moreno Taquería</t>
  </si>
  <si>
    <t>Antonio Moreno</t>
  </si>
  <si>
    <t>Mataderos  2312</t>
  </si>
  <si>
    <t>(5) 555-3932</t>
  </si>
  <si>
    <t>AROUT</t>
  </si>
  <si>
    <t>Around the Horn</t>
  </si>
  <si>
    <t>Thomas Hardy</t>
  </si>
  <si>
    <t>120 Hanover Sq.</t>
  </si>
  <si>
    <t>London</t>
  </si>
  <si>
    <t>WA1 1DP</t>
  </si>
  <si>
    <t>UK</t>
  </si>
  <si>
    <t>(171) 555-7788</t>
  </si>
  <si>
    <t>(171) 555-6750</t>
  </si>
  <si>
    <t>BERGS</t>
  </si>
  <si>
    <t>Berglunds snabbköp</t>
  </si>
  <si>
    <t>Christina Berglund</t>
  </si>
  <si>
    <t>Order Administrator</t>
  </si>
  <si>
    <t>Berguvsvägen  8</t>
  </si>
  <si>
    <t>Luleå</t>
  </si>
  <si>
    <t>S-958 22</t>
  </si>
  <si>
    <t>Sweden</t>
  </si>
  <si>
    <t>0921-12 34 65</t>
  </si>
  <si>
    <t>0921-12 34 67</t>
  </si>
  <si>
    <t>BLAUS</t>
  </si>
  <si>
    <t>Blauer See Delikatessen</t>
  </si>
  <si>
    <t>Hanna Moos</t>
  </si>
  <si>
    <t>Forsterstr. 57</t>
  </si>
  <si>
    <t>Mannheim</t>
  </si>
  <si>
    <t>0621-08460</t>
  </si>
  <si>
    <t>0621-08924</t>
  </si>
  <si>
    <t>BLONP</t>
  </si>
  <si>
    <t>Blondesddsl père et fils</t>
  </si>
  <si>
    <t>Frédérique Citeaux</t>
  </si>
  <si>
    <t>Marketing Manager</t>
  </si>
  <si>
    <t>24, place Kléber</t>
  </si>
  <si>
    <t>Strasbourg</t>
  </si>
  <si>
    <t>France</t>
  </si>
  <si>
    <t>88.60.15.31</t>
  </si>
  <si>
    <t>88.60.15.32</t>
  </si>
  <si>
    <t>BOLID</t>
  </si>
  <si>
    <t>Bólido Comidas preparadas</t>
  </si>
  <si>
    <t>Martín Sommer</t>
  </si>
  <si>
    <t>C/ Araquil, 67</t>
  </si>
  <si>
    <t>Madrid</t>
  </si>
  <si>
    <t>Spain</t>
  </si>
  <si>
    <t>(91) 555 22 82</t>
  </si>
  <si>
    <t>(91) 555 91 99</t>
  </si>
  <si>
    <t>BONAP</t>
  </si>
  <si>
    <t>Bon app'</t>
  </si>
  <si>
    <t>Laurence Lebihan</t>
  </si>
  <si>
    <t>12, rue des Bouchers</t>
  </si>
  <si>
    <t>Marseille</t>
  </si>
  <si>
    <t>91.24.45.40</t>
  </si>
  <si>
    <t>91.24.45.41</t>
  </si>
  <si>
    <t>BOTTM</t>
  </si>
  <si>
    <t>Bottom-Dollar Markets</t>
  </si>
  <si>
    <t>Elizabeth Lincoln</t>
  </si>
  <si>
    <t>Accounting Manager</t>
  </si>
  <si>
    <t>23 Tsawassen Blvd.</t>
  </si>
  <si>
    <t>Tsawassen</t>
  </si>
  <si>
    <t>BC</t>
  </si>
  <si>
    <t>T2F 8M4</t>
  </si>
  <si>
    <t>Canada</t>
  </si>
  <si>
    <t>(604) 555-4729</t>
  </si>
  <si>
    <t>(604) 555-3745</t>
  </si>
  <si>
    <t>BSBEV</t>
  </si>
  <si>
    <t>B's Beverages</t>
  </si>
  <si>
    <t>Victoria Ashworth</t>
  </si>
  <si>
    <t>Fauntleroy Circus</t>
  </si>
  <si>
    <t>EC2 5NT</t>
  </si>
  <si>
    <t>(171) 555-1212</t>
  </si>
  <si>
    <t>CACTU</t>
  </si>
  <si>
    <t>Cactus Comidas para llevar</t>
  </si>
  <si>
    <t>Patricio Simpson</t>
  </si>
  <si>
    <t>Sales Agent</t>
  </si>
  <si>
    <t>Cerrito 333</t>
  </si>
  <si>
    <t>Buenos Aires</t>
  </si>
  <si>
    <t>Argentina</t>
  </si>
  <si>
    <t>(1) 135-5555</t>
  </si>
  <si>
    <t>(1) 135-4892</t>
  </si>
  <si>
    <t>CENTC</t>
  </si>
  <si>
    <t>Centro comercial Moctezuma</t>
  </si>
  <si>
    <t>Francisco Chang</t>
  </si>
  <si>
    <t>Sierras de Granada 9993</t>
  </si>
  <si>
    <t>(5) 555-3392</t>
  </si>
  <si>
    <t>(5) 555-7293</t>
  </si>
  <si>
    <t>CHOPS</t>
  </si>
  <si>
    <t>Chop-suey Chinese</t>
  </si>
  <si>
    <t>Yang Wang</t>
  </si>
  <si>
    <t>Hauptstr. 29</t>
  </si>
  <si>
    <t>Bern</t>
  </si>
  <si>
    <t>Switzerland</t>
  </si>
  <si>
    <t>0452-076545</t>
  </si>
  <si>
    <t>COMMI</t>
  </si>
  <si>
    <t>Comércio Mineiro</t>
  </si>
  <si>
    <t>Pedro Afonso</t>
  </si>
  <si>
    <t>Sales Associate</t>
  </si>
  <si>
    <t>Av. dos Lusíadas, 23</t>
  </si>
  <si>
    <t>Sao Paulo</t>
  </si>
  <si>
    <t>SP</t>
  </si>
  <si>
    <t>05432-043</t>
  </si>
  <si>
    <t>Brazil</t>
  </si>
  <si>
    <t>(11) 555-7647</t>
  </si>
  <si>
    <t>CONSH</t>
  </si>
  <si>
    <t>Consolidated Holdings</t>
  </si>
  <si>
    <t>Elizabeth Brown</t>
  </si>
  <si>
    <t>Berkeley Gardens 12  Brewery</t>
  </si>
  <si>
    <t>WX1 6LT</t>
  </si>
  <si>
    <t>(171) 555-2282</t>
  </si>
  <si>
    <t>(171) 555-9199</t>
  </si>
  <si>
    <t>DRACD</t>
  </si>
  <si>
    <t>Drachenblut Delikatessen</t>
  </si>
  <si>
    <t>Sven Ottlieb</t>
  </si>
  <si>
    <t>Walserweg 21</t>
  </si>
  <si>
    <t>Aachen</t>
  </si>
  <si>
    <t>0241-039123</t>
  </si>
  <si>
    <t>0241-059428</t>
  </si>
  <si>
    <t>DUMON</t>
  </si>
  <si>
    <t>Du monde entier</t>
  </si>
  <si>
    <t>Janine Labrune</t>
  </si>
  <si>
    <t>67, rue des Cinquante Otages</t>
  </si>
  <si>
    <t>Nantes</t>
  </si>
  <si>
    <t>40.67.88.88</t>
  </si>
  <si>
    <t>40.67.89.89</t>
  </si>
  <si>
    <t>EASTC</t>
  </si>
  <si>
    <t>Eastern Connection</t>
  </si>
  <si>
    <t>Ann Devon</t>
  </si>
  <si>
    <t>35 King George</t>
  </si>
  <si>
    <t>WX3 6FW</t>
  </si>
  <si>
    <t>(171) 555-0297</t>
  </si>
  <si>
    <t>(171) 555-3373</t>
  </si>
  <si>
    <t>ERNSH</t>
  </si>
  <si>
    <t>Ernst Handel</t>
  </si>
  <si>
    <t>Roland Mendel</t>
  </si>
  <si>
    <t>Sales Manager</t>
  </si>
  <si>
    <t>Kirchgasse 6</t>
  </si>
  <si>
    <t>Graz</t>
  </si>
  <si>
    <t>Austria</t>
  </si>
  <si>
    <t>7675-3425</t>
  </si>
  <si>
    <t>7675-3426</t>
  </si>
  <si>
    <t>FAMIA</t>
  </si>
  <si>
    <t>Familia Arquibaldo</t>
  </si>
  <si>
    <t>Aria Cruz</t>
  </si>
  <si>
    <t>Marketing Assistant</t>
  </si>
  <si>
    <t>Rua Orós, 92</t>
  </si>
  <si>
    <t>05442-030</t>
  </si>
  <si>
    <t>(11) 555-9857</t>
  </si>
  <si>
    <t>FISSA</t>
  </si>
  <si>
    <t>FISSA Fabrica Inter. Salchichas S.A.</t>
  </si>
  <si>
    <t>Diego Roel</t>
  </si>
  <si>
    <t>C/ Moralzarzal, 86</t>
  </si>
  <si>
    <t>(91) 555 94 44</t>
  </si>
  <si>
    <t>(91) 555 55 93</t>
  </si>
  <si>
    <t>FOLIG</t>
  </si>
  <si>
    <t>Folies gourmandes</t>
  </si>
  <si>
    <t>Martine Rancé</t>
  </si>
  <si>
    <t>Assistant Sales Agent</t>
  </si>
  <si>
    <t>184, chaussée de Tournai</t>
  </si>
  <si>
    <t>Lille</t>
  </si>
  <si>
    <t>20.16.10.16</t>
  </si>
  <si>
    <t>20.16.10.17</t>
  </si>
  <si>
    <t>FOLKO</t>
  </si>
  <si>
    <t>Folk och fä HB</t>
  </si>
  <si>
    <t>Maria Larsson</t>
  </si>
  <si>
    <t>Åkergatan 24</t>
  </si>
  <si>
    <t>Bräcke</t>
  </si>
  <si>
    <t>S-844 67</t>
  </si>
  <si>
    <t>0695-34 67 21</t>
  </si>
  <si>
    <t>FRANK</t>
  </si>
  <si>
    <t>Frankenversand</t>
  </si>
  <si>
    <t>Peter Franken</t>
  </si>
  <si>
    <t>Berliner Platz 43</t>
  </si>
  <si>
    <t>München</t>
  </si>
  <si>
    <t>089-0877310</t>
  </si>
  <si>
    <t>089-0877451</t>
  </si>
  <si>
    <t>FRANR</t>
  </si>
  <si>
    <t>France restauration</t>
  </si>
  <si>
    <t>Carine Schmitt</t>
  </si>
  <si>
    <t>54, rue Royale</t>
  </si>
  <si>
    <t>40.32.21.21</t>
  </si>
  <si>
    <t>40.32.21.20</t>
  </si>
  <si>
    <t>FRANS</t>
  </si>
  <si>
    <t>Franchi S.p.A.</t>
  </si>
  <si>
    <t>Paolo Accorti</t>
  </si>
  <si>
    <t>Via Monte Bianco 34</t>
  </si>
  <si>
    <t>Torino</t>
  </si>
  <si>
    <t>Italy</t>
  </si>
  <si>
    <t>011-4988260</t>
  </si>
  <si>
    <t>011-4988261</t>
  </si>
  <si>
    <t>FURIB</t>
  </si>
  <si>
    <t>Furia Bacalhau e Frutos do Mar</t>
  </si>
  <si>
    <t>Lino Rodriguez</t>
  </si>
  <si>
    <t>Jardim das rosas n. 32</t>
  </si>
  <si>
    <t>Lisboa</t>
  </si>
  <si>
    <t>Portugal</t>
  </si>
  <si>
    <t>(1) 354-2534</t>
  </si>
  <si>
    <t>(1) 354-2535</t>
  </si>
  <si>
    <t>GALED</t>
  </si>
  <si>
    <t>Galería del gastrónomo</t>
  </si>
  <si>
    <t>Eduardo Saavedra</t>
  </si>
  <si>
    <t>Rambla de Cataluña, 23</t>
  </si>
  <si>
    <t>Barcelona</t>
  </si>
  <si>
    <t>(93) 203 4560</t>
  </si>
  <si>
    <t>(93) 203 4561</t>
  </si>
  <si>
    <t>GODOS</t>
  </si>
  <si>
    <t>Godos Cocina Típica</t>
  </si>
  <si>
    <t>José Pedro Freyre</t>
  </si>
  <si>
    <t>C/ Romero, 33</t>
  </si>
  <si>
    <t>Sevilla</t>
  </si>
  <si>
    <t>(95) 555 82 82</t>
  </si>
  <si>
    <t>GOURL</t>
  </si>
  <si>
    <t>Gourmet Lanchonetes</t>
  </si>
  <si>
    <t>André Fonseca</t>
  </si>
  <si>
    <t>Av. Brasil, 442</t>
  </si>
  <si>
    <t>Campinas</t>
  </si>
  <si>
    <t>04876-786</t>
  </si>
  <si>
    <t>(11) 555-9482</t>
  </si>
  <si>
    <t>GREAL</t>
  </si>
  <si>
    <t>Great Lakes Food Market</t>
  </si>
  <si>
    <t>Howard Snyder</t>
  </si>
  <si>
    <t>2732 Baker Blvd.</t>
  </si>
  <si>
    <t>Eugene</t>
  </si>
  <si>
    <t>OR</t>
  </si>
  <si>
    <t>USA</t>
  </si>
  <si>
    <t>(503) 555-7555</t>
  </si>
  <si>
    <t>GROSR</t>
  </si>
  <si>
    <t>GROSELLA-Restaurante</t>
  </si>
  <si>
    <t>Manuel Pereira</t>
  </si>
  <si>
    <t>5ª Ave. Los Palos Grandes</t>
  </si>
  <si>
    <t>Caracas</t>
  </si>
  <si>
    <t>DF</t>
  </si>
  <si>
    <t>Venezuela</t>
  </si>
  <si>
    <t>(2) 283-2951</t>
  </si>
  <si>
    <t>(2) 283-3397</t>
  </si>
  <si>
    <t>HANAR</t>
  </si>
  <si>
    <t>Hanari Carnes</t>
  </si>
  <si>
    <t>Mario Pontes</t>
  </si>
  <si>
    <t>Rua do Paço, 67</t>
  </si>
  <si>
    <t>Rio de Janeiro</t>
  </si>
  <si>
    <t>RJ</t>
  </si>
  <si>
    <t>05454-876</t>
  </si>
  <si>
    <t>(21) 555-0091</t>
  </si>
  <si>
    <t>(21) 555-8765</t>
  </si>
  <si>
    <t>HILAA</t>
  </si>
  <si>
    <t>HILARION-Abastos</t>
  </si>
  <si>
    <t>Carlos Hernández</t>
  </si>
  <si>
    <t>Carrera 22 con Ave. Carlos Soublette #8-35</t>
  </si>
  <si>
    <t>San Cristóbal</t>
  </si>
  <si>
    <t>Táchira</t>
  </si>
  <si>
    <t>(5) 555-1340</t>
  </si>
  <si>
    <t>(5) 555-1948</t>
  </si>
  <si>
    <t>HUNGC</t>
  </si>
  <si>
    <t>Hungry Coyote Import Store</t>
  </si>
  <si>
    <t>Yoshi Latimer</t>
  </si>
  <si>
    <t>City Center Plaza 516 Main St.</t>
  </si>
  <si>
    <t>Elgin</t>
  </si>
  <si>
    <t>(503) 555-6874</t>
  </si>
  <si>
    <t>(503) 555-2376</t>
  </si>
  <si>
    <t>HUNGO</t>
  </si>
  <si>
    <t>Hungry Owl All-Night Grocers</t>
  </si>
  <si>
    <t>Patricia McKenna</t>
  </si>
  <si>
    <t>8 Johnstown Road</t>
  </si>
  <si>
    <t>Cork</t>
  </si>
  <si>
    <t>Co. Cork</t>
  </si>
  <si>
    <t>Ireland</t>
  </si>
  <si>
    <t>ISLAT</t>
  </si>
  <si>
    <t>Island Trading</t>
  </si>
  <si>
    <t>Helen Bennett</t>
  </si>
  <si>
    <t>Garden House Crowther Way</t>
  </si>
  <si>
    <t>Cowes</t>
  </si>
  <si>
    <t>Isle of Wight</t>
  </si>
  <si>
    <t>PO31 7PJ</t>
  </si>
  <si>
    <t>(198) 555-8888</t>
  </si>
  <si>
    <t>KOENE</t>
  </si>
  <si>
    <t>Königlich Essen</t>
  </si>
  <si>
    <t>Philip Cramer</t>
  </si>
  <si>
    <t>Maubelstr. 90</t>
  </si>
  <si>
    <t>Brandenburg</t>
  </si>
  <si>
    <t>0555-09876</t>
  </si>
  <si>
    <t>LACOR</t>
  </si>
  <si>
    <t>La corne d'abondance</t>
  </si>
  <si>
    <t>Daniel Tonini</t>
  </si>
  <si>
    <t>67, avenue de l'Europe</t>
  </si>
  <si>
    <t>Versailles</t>
  </si>
  <si>
    <t>30.59.84.10</t>
  </si>
  <si>
    <t>30.59.85.11</t>
  </si>
  <si>
    <t>LAMAI</t>
  </si>
  <si>
    <t>La maison d'Asie</t>
  </si>
  <si>
    <t>Annette Roulet</t>
  </si>
  <si>
    <t>1 rue Alsace-Lorraine</t>
  </si>
  <si>
    <t>Toulouse</t>
  </si>
  <si>
    <t>61.77.61.10</t>
  </si>
  <si>
    <t>61.77.61.11</t>
  </si>
  <si>
    <t>LAUGB</t>
  </si>
  <si>
    <t>Laughing Bacchus Wine Cellars</t>
  </si>
  <si>
    <t>Yoshi Tannamuri</t>
  </si>
  <si>
    <t>1900 Oak St.</t>
  </si>
  <si>
    <t>Vancouver</t>
  </si>
  <si>
    <t>V3F 2K1</t>
  </si>
  <si>
    <t>(604) 555-3392</t>
  </si>
  <si>
    <t>(604) 555-7293</t>
  </si>
  <si>
    <t>LAZYK</t>
  </si>
  <si>
    <t>Lazy K Kountry Store</t>
  </si>
  <si>
    <t>John Steel</t>
  </si>
  <si>
    <t>12 Orchestra Terrace</t>
  </si>
  <si>
    <t>Walla Walla</t>
  </si>
  <si>
    <t>WA</t>
  </si>
  <si>
    <t>(509) 555-7969</t>
  </si>
  <si>
    <t>(509) 555-6221</t>
  </si>
  <si>
    <t>LEHMS</t>
  </si>
  <si>
    <t>Lehmanns Marktstand</t>
  </si>
  <si>
    <t>Renate Messner</t>
  </si>
  <si>
    <t>Magazinweg 7</t>
  </si>
  <si>
    <t>Frankfurt a.M.</t>
  </si>
  <si>
    <t>069-0245984</t>
  </si>
  <si>
    <t>069-0245874</t>
  </si>
  <si>
    <t>LETSS</t>
  </si>
  <si>
    <t>Let's Stop N Shop</t>
  </si>
  <si>
    <t>Jaime Yorres</t>
  </si>
  <si>
    <t>87 Polk St. Suite 5</t>
  </si>
  <si>
    <t>San Francisco</t>
  </si>
  <si>
    <t>CA</t>
  </si>
  <si>
    <t>(415) 555-5938</t>
  </si>
  <si>
    <t>LILAS</t>
  </si>
  <si>
    <t>LILA-Supermercado</t>
  </si>
  <si>
    <t>Carlos González</t>
  </si>
  <si>
    <t>Carrera 52 con Ave. Bolívar #65-98 Llano Largo</t>
  </si>
  <si>
    <t>Barquisimeto</t>
  </si>
  <si>
    <t>Lara</t>
  </si>
  <si>
    <t>(9) 331-6954</t>
  </si>
  <si>
    <t>(9) 331-7256</t>
  </si>
  <si>
    <t>LINOD</t>
  </si>
  <si>
    <t>LINO-Delicateses</t>
  </si>
  <si>
    <t>Felipe Izquierdo</t>
  </si>
  <si>
    <t>Ave. 5 de Mayo Porlamar</t>
  </si>
  <si>
    <t>I. de Margarita</t>
  </si>
  <si>
    <t>Nueva Esparta</t>
  </si>
  <si>
    <t>(8) 34-56-12</t>
  </si>
  <si>
    <t>(8) 34-93-93</t>
  </si>
  <si>
    <t>LONEP</t>
  </si>
  <si>
    <t>Lonesome Pine Restaurant</t>
  </si>
  <si>
    <t>Fran Wilson</t>
  </si>
  <si>
    <t>89 Chiaroscuro Rd.</t>
  </si>
  <si>
    <t>Portland</t>
  </si>
  <si>
    <t>(503) 555-9573</t>
  </si>
  <si>
    <t>(503) 555-9646</t>
  </si>
  <si>
    <t>MAGAA</t>
  </si>
  <si>
    <t>Magazzini Alimentari Riuniti</t>
  </si>
  <si>
    <t>Giovanni Rovelli</t>
  </si>
  <si>
    <t>Via Ludovico il Moro 22</t>
  </si>
  <si>
    <t>Bergamo</t>
  </si>
  <si>
    <t>035-640230</t>
  </si>
  <si>
    <t>035-640231</t>
  </si>
  <si>
    <t>MAISD</t>
  </si>
  <si>
    <t>Maison Dewey</t>
  </si>
  <si>
    <t>Catherine Dewey</t>
  </si>
  <si>
    <t>Rue Joseph-Bens 532</t>
  </si>
  <si>
    <t>Bruxelles</t>
  </si>
  <si>
    <t>B-1180</t>
  </si>
  <si>
    <t>Belgium</t>
  </si>
  <si>
    <t>(02) 201 24 67</t>
  </si>
  <si>
    <t>(02) 201 24 68</t>
  </si>
  <si>
    <t>MEREP</t>
  </si>
  <si>
    <t>Mère Paillarde</t>
  </si>
  <si>
    <t>Jean Fresnière</t>
  </si>
  <si>
    <t>43 rue St. Laurent</t>
  </si>
  <si>
    <t>Montréal</t>
  </si>
  <si>
    <t>Québec</t>
  </si>
  <si>
    <t>H1J 1C3</t>
  </si>
  <si>
    <t>(514) 555-8054</t>
  </si>
  <si>
    <t>(514) 555-8055</t>
  </si>
  <si>
    <t>MORGK</t>
  </si>
  <si>
    <t>Morgenstern Gesundkost</t>
  </si>
  <si>
    <t>Alexander Feuer</t>
  </si>
  <si>
    <t>Heerstr. 22</t>
  </si>
  <si>
    <t>Leipzig</t>
  </si>
  <si>
    <t>0342-023176</t>
  </si>
  <si>
    <t>NORTS</t>
  </si>
  <si>
    <t>North/South</t>
  </si>
  <si>
    <t>Simon Crowther</t>
  </si>
  <si>
    <t>South House 300 Queensbridge</t>
  </si>
  <si>
    <t>SW7 1RZ</t>
  </si>
  <si>
    <t>(171) 555-7733</t>
  </si>
  <si>
    <t>(171) 555-2530</t>
  </si>
  <si>
    <t>OCEAN</t>
  </si>
  <si>
    <t>Océano Atlántico Ltda.</t>
  </si>
  <si>
    <t>Yvonne Moncada</t>
  </si>
  <si>
    <t>Ing. Gustavo Moncada 8585 Piso 20-A</t>
  </si>
  <si>
    <t>(1) 135-5333</t>
  </si>
  <si>
    <t>(1) 135-5535</t>
  </si>
  <si>
    <t>OLDWO</t>
  </si>
  <si>
    <t>Old World Delicatessen</t>
  </si>
  <si>
    <t>Rene Phillips</t>
  </si>
  <si>
    <t>2743 Bering St.</t>
  </si>
  <si>
    <t>Anchorage</t>
  </si>
  <si>
    <t>AK</t>
  </si>
  <si>
    <t>(907) 555-7584</t>
  </si>
  <si>
    <t>(907) 555-2880</t>
  </si>
  <si>
    <t>OTTIK</t>
  </si>
  <si>
    <t>Ottilies Käseladen</t>
  </si>
  <si>
    <t>Henriette Pfalzheim</t>
  </si>
  <si>
    <t>Mehrheimerstr. 369</t>
  </si>
  <si>
    <t>Köln</t>
  </si>
  <si>
    <t>0221-0644327</t>
  </si>
  <si>
    <t>0221-0765721</t>
  </si>
  <si>
    <t>PARIS</t>
  </si>
  <si>
    <t>Paris spécialités</t>
  </si>
  <si>
    <t>Marie Bertrand</t>
  </si>
  <si>
    <t>265, boulevard Charonne</t>
  </si>
  <si>
    <t>Paris</t>
  </si>
  <si>
    <t>(1) 42.34.22.66</t>
  </si>
  <si>
    <t>(1) 42.34.22.77</t>
  </si>
  <si>
    <t>PERIC</t>
  </si>
  <si>
    <t>Pericles Comidas clásicas</t>
  </si>
  <si>
    <t>Guillermo Fernández</t>
  </si>
  <si>
    <t>Calle Dr. Jorge Cash 321</t>
  </si>
  <si>
    <t>(5) 552-3745</t>
  </si>
  <si>
    <t>(5) 545-3745</t>
  </si>
  <si>
    <t>PICCO</t>
  </si>
  <si>
    <t>Piccolo und mehr</t>
  </si>
  <si>
    <t>Georg Pipps</t>
  </si>
  <si>
    <t>Geislweg 14</t>
  </si>
  <si>
    <t>Salzburg</t>
  </si>
  <si>
    <t>6562-9722</t>
  </si>
  <si>
    <t>6562-9723</t>
  </si>
  <si>
    <t>PRINI</t>
  </si>
  <si>
    <t>Princesa Isabel Vinhos</t>
  </si>
  <si>
    <t>Isabel de Castro</t>
  </si>
  <si>
    <t>Estrada da saúde n. 58</t>
  </si>
  <si>
    <t>(1) 356-5634</t>
  </si>
  <si>
    <t>QUEDE</t>
  </si>
  <si>
    <t>Que Delícia</t>
  </si>
  <si>
    <t>Bernardo Batista</t>
  </si>
  <si>
    <t>Rua da Panificadora, 12</t>
  </si>
  <si>
    <t>02389-673</t>
  </si>
  <si>
    <t>(21) 555-4252</t>
  </si>
  <si>
    <t>(21) 555-4545</t>
  </si>
  <si>
    <t>QUEEN</t>
  </si>
  <si>
    <t>Queen Cozinha</t>
  </si>
  <si>
    <t>Lúcia Carvalho</t>
  </si>
  <si>
    <t>Alameda dos Canàrios, 891</t>
  </si>
  <si>
    <t>05487-020</t>
  </si>
  <si>
    <t>(11) 555-1189</t>
  </si>
  <si>
    <t>QUICK</t>
  </si>
  <si>
    <t>QUICK-Stop</t>
  </si>
  <si>
    <t>Horst Kloss</t>
  </si>
  <si>
    <t>Taucherstraße 10</t>
  </si>
  <si>
    <t>Cunewalde</t>
  </si>
  <si>
    <t>0372-035188</t>
  </si>
  <si>
    <t>RANCH</t>
  </si>
  <si>
    <t>Rancho grande</t>
  </si>
  <si>
    <t>Sergio Gutiérrez</t>
  </si>
  <si>
    <t>Av. del Libertador 900</t>
  </si>
  <si>
    <t>(1) 123-5555</t>
  </si>
  <si>
    <t>(1) 123-5556</t>
  </si>
  <si>
    <t>RATTC</t>
  </si>
  <si>
    <t>Rattlesnake Canyon Grocery</t>
  </si>
  <si>
    <t>Paula Wilson</t>
  </si>
  <si>
    <t>Assistant Sales Representative</t>
  </si>
  <si>
    <t>2817 Milton Dr.</t>
  </si>
  <si>
    <t>Albuquerque</t>
  </si>
  <si>
    <t>NM</t>
  </si>
  <si>
    <t>(505) 555-5939</t>
  </si>
  <si>
    <t>(505) 555-3620</t>
  </si>
  <si>
    <t>REGGC</t>
  </si>
  <si>
    <t>Reggiani Caseifici</t>
  </si>
  <si>
    <t>Maurizio Moroni</t>
  </si>
  <si>
    <t>Strada Provinciale 124</t>
  </si>
  <si>
    <t>Reggio Emilia</t>
  </si>
  <si>
    <t>0522-556721</t>
  </si>
  <si>
    <t>0522-556722</t>
  </si>
  <si>
    <t>RICAR</t>
  </si>
  <si>
    <t>Ricardo Adocicados</t>
  </si>
  <si>
    <t>Janete Limeira</t>
  </si>
  <si>
    <t>Av. Copacabana, 267</t>
  </si>
  <si>
    <t>02389-890</t>
  </si>
  <si>
    <t>(21) 555-3412</t>
  </si>
  <si>
    <t>RICSU</t>
  </si>
  <si>
    <t>Richter Supermarkt</t>
  </si>
  <si>
    <t>Michael Holz</t>
  </si>
  <si>
    <t>Grenzacherweg 237</t>
  </si>
  <si>
    <t>Genève</t>
  </si>
  <si>
    <t>0897-034214</t>
  </si>
  <si>
    <t>ROMEY</t>
  </si>
  <si>
    <t>Romero y tomillo</t>
  </si>
  <si>
    <t>Alejandra Camino</t>
  </si>
  <si>
    <t>Gran Vía, 1</t>
  </si>
  <si>
    <t>(91) 745 6200</t>
  </si>
  <si>
    <t>(91) 745 6210</t>
  </si>
  <si>
    <t>SANTG</t>
  </si>
  <si>
    <t>Santé Gourmet</t>
  </si>
  <si>
    <t>Jonas Bergulfsen</t>
  </si>
  <si>
    <t>Erling Skakkes gate 78</t>
  </si>
  <si>
    <t>Stavern</t>
  </si>
  <si>
    <t>Norway</t>
  </si>
  <si>
    <t>07-98 92 35</t>
  </si>
  <si>
    <t>07-98 92 47</t>
  </si>
  <si>
    <t>SAVEA</t>
  </si>
  <si>
    <t>Save-a-lot Markets</t>
  </si>
  <si>
    <t>Jose Pavarotti</t>
  </si>
  <si>
    <t>187 Suffolk Ln.</t>
  </si>
  <si>
    <t>Boise</t>
  </si>
  <si>
    <t>ID</t>
  </si>
  <si>
    <t>(208) 555-8097</t>
  </si>
  <si>
    <t>SEVES</t>
  </si>
  <si>
    <t>Seven Seas Imports</t>
  </si>
  <si>
    <t>Hari Kumar</t>
  </si>
  <si>
    <t>90 Wadhurst Rd.</t>
  </si>
  <si>
    <t>OX15 4NB</t>
  </si>
  <si>
    <t>(171) 555-1717</t>
  </si>
  <si>
    <t>(171) 555-5646</t>
  </si>
  <si>
    <t>SIMOB</t>
  </si>
  <si>
    <t>Simons bistro</t>
  </si>
  <si>
    <t>Jytte Petersen</t>
  </si>
  <si>
    <t>Vinbæltet 34</t>
  </si>
  <si>
    <t>Kobenhavn</t>
  </si>
  <si>
    <t>Denmark</t>
  </si>
  <si>
    <t>31 12 34 56</t>
  </si>
  <si>
    <t>31 13 35 57</t>
  </si>
  <si>
    <t>SPECD</t>
  </si>
  <si>
    <t>Spécialités du monde</t>
  </si>
  <si>
    <t>Dominique Perrier</t>
  </si>
  <si>
    <t>25, rue Lauriston</t>
  </si>
  <si>
    <t>(1) 47.55.60.10</t>
  </si>
  <si>
    <t>(1) 47.55.60.20</t>
  </si>
  <si>
    <t>SPLIR</t>
  </si>
  <si>
    <t>Split Rail Beer &amp; Ale</t>
  </si>
  <si>
    <t>Art Braunschweiger</t>
  </si>
  <si>
    <t>P.O. Box 555</t>
  </si>
  <si>
    <t>Lander</t>
  </si>
  <si>
    <t>WY</t>
  </si>
  <si>
    <t>(307) 555-4680</t>
  </si>
  <si>
    <t>(307) 555-6525</t>
  </si>
  <si>
    <t>SUPRD</t>
  </si>
  <si>
    <t>Suprêmes délices</t>
  </si>
  <si>
    <t>Pascale Cartrain</t>
  </si>
  <si>
    <t>Boulevard Tirou, 255</t>
  </si>
  <si>
    <t>Charleroi</t>
  </si>
  <si>
    <t>B-6000</t>
  </si>
  <si>
    <t>(071) 23 67 22 20</t>
  </si>
  <si>
    <t>(071) 23 67 22 21</t>
  </si>
  <si>
    <t>THEBI</t>
  </si>
  <si>
    <t>The Big Cheese</t>
  </si>
  <si>
    <t>Liz Nixon</t>
  </si>
  <si>
    <t>89 Jefferson Way Suite 2</t>
  </si>
  <si>
    <t>(503) 555-3612</t>
  </si>
  <si>
    <t>THECR</t>
  </si>
  <si>
    <t>The Cracker Box</t>
  </si>
  <si>
    <t>Liu Wong</t>
  </si>
  <si>
    <t>55 Grizzly Peak Rd.</t>
  </si>
  <si>
    <t>Butte</t>
  </si>
  <si>
    <t>MT</t>
  </si>
  <si>
    <t>(406) 555-5834</t>
  </si>
  <si>
    <t>(406) 555-8083</t>
  </si>
  <si>
    <t>TOMSP</t>
  </si>
  <si>
    <t>Toms Spezialitäten</t>
  </si>
  <si>
    <t>Karin Josephs</t>
  </si>
  <si>
    <t>Luisenstr. 48</t>
  </si>
  <si>
    <t>Münster</t>
  </si>
  <si>
    <t>0251-031259</t>
  </si>
  <si>
    <t>0251-035695</t>
  </si>
  <si>
    <t>TORTU</t>
  </si>
  <si>
    <t>Tortuga Restaurante</t>
  </si>
  <si>
    <t>Miguel Angel Paolino</t>
  </si>
  <si>
    <t>Avda. Azteca 123</t>
  </si>
  <si>
    <t>(5) 555-2933</t>
  </si>
  <si>
    <t>TRADH</t>
  </si>
  <si>
    <t>Tradição Hipermercados</t>
  </si>
  <si>
    <t>Anabela Domingues</t>
  </si>
  <si>
    <t>Av. Inês de Castro, 414</t>
  </si>
  <si>
    <t>05634-030</t>
  </si>
  <si>
    <t>(11) 555-2167</t>
  </si>
  <si>
    <t>(11) 555-2168</t>
  </si>
  <si>
    <t>TRAIH</t>
  </si>
  <si>
    <t>Trail's Head Gourmet Provisioners</t>
  </si>
  <si>
    <t>Helvetius Nagy</t>
  </si>
  <si>
    <t>722 DaVinci Blvd.</t>
  </si>
  <si>
    <t>Kirkland</t>
  </si>
  <si>
    <t>(206) 555-8257</t>
  </si>
  <si>
    <t>(206) 555-2174</t>
  </si>
  <si>
    <t>VAFFE</t>
  </si>
  <si>
    <t>Vaffeljernet</t>
  </si>
  <si>
    <t>Palle Ibsen</t>
  </si>
  <si>
    <t>Smagsloget 45</t>
  </si>
  <si>
    <t>Århus</t>
  </si>
  <si>
    <t>86 21 32 43</t>
  </si>
  <si>
    <t>86 22 33 44</t>
  </si>
  <si>
    <t>VICTE</t>
  </si>
  <si>
    <t>Victuailles en stock</t>
  </si>
  <si>
    <t>Mary Saveley</t>
  </si>
  <si>
    <t>2, rue du Commerce</t>
  </si>
  <si>
    <t>Lyon</t>
  </si>
  <si>
    <t>78.32.54.86</t>
  </si>
  <si>
    <t>78.32.54.87</t>
  </si>
  <si>
    <t>VINET</t>
  </si>
  <si>
    <t>Vins et alcools Chevalier</t>
  </si>
  <si>
    <t>Paul Henriot</t>
  </si>
  <si>
    <t>59 rue de l'Abbaye</t>
  </si>
  <si>
    <t>Reims</t>
  </si>
  <si>
    <t>26.47.15.10</t>
  </si>
  <si>
    <t>26.47.15.11</t>
  </si>
  <si>
    <t>WANDK</t>
  </si>
  <si>
    <t>Die Wandernde Kuh</t>
  </si>
  <si>
    <t>Rita Müller</t>
  </si>
  <si>
    <t>Adenauerallee 900</t>
  </si>
  <si>
    <t>Stuttgart</t>
  </si>
  <si>
    <t>0711-020361</t>
  </si>
  <si>
    <t>0711-035428</t>
  </si>
  <si>
    <t>WARTH</t>
  </si>
  <si>
    <t>Wartian Herkku</t>
  </si>
  <si>
    <t>Pirkko Koskitalo</t>
  </si>
  <si>
    <t>Torikatu 38</t>
  </si>
  <si>
    <t>Oulu</t>
  </si>
  <si>
    <t>Finland</t>
  </si>
  <si>
    <t>981-443655</t>
  </si>
  <si>
    <t>WELLI</t>
  </si>
  <si>
    <t>Wellington Importadora</t>
  </si>
  <si>
    <t>Paula Parente</t>
  </si>
  <si>
    <t>Rua do Mercado, 12</t>
  </si>
  <si>
    <t>Resende</t>
  </si>
  <si>
    <t>08737-363</t>
  </si>
  <si>
    <t>(14) 555-8122</t>
  </si>
  <si>
    <t>WHITC</t>
  </si>
  <si>
    <t>White Clover Markets</t>
  </si>
  <si>
    <t>Karl Jablonski</t>
  </si>
  <si>
    <t>305 - 14th Ave. S. Suite 3B</t>
  </si>
  <si>
    <t>Seattle</t>
  </si>
  <si>
    <t>(206) 555-4112</t>
  </si>
  <si>
    <t>(206) 555-4115</t>
  </si>
  <si>
    <t>WILMK</t>
  </si>
  <si>
    <t>Wilman Kala</t>
  </si>
  <si>
    <t>Matti Karttunen</t>
  </si>
  <si>
    <t>Owner/Marketing Assistant</t>
  </si>
  <si>
    <t>Keskuskatu 45</t>
  </si>
  <si>
    <t>Helsinki</t>
  </si>
  <si>
    <t>90-224 8858</t>
  </si>
  <si>
    <t>WOLZA</t>
  </si>
  <si>
    <t>Wolski  Zajazd</t>
  </si>
  <si>
    <t>Zbyszek Piestrzeniewicz</t>
  </si>
  <si>
    <t>ul. Filtrowa 68</t>
  </si>
  <si>
    <t>Warszawa</t>
  </si>
  <si>
    <t>01-012</t>
  </si>
  <si>
    <t>Poland</t>
  </si>
  <si>
    <t>(26) 642-7012</t>
  </si>
  <si>
    <t>Pays et 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</si>
</sst>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D8857E-D57C-4CB0-AD91-EE2578F59C63}" name="Tableau1" displayName="Tableau1" ref="A1:L93" totalsRowShown="0">
  <autoFilter ref="A1:L93" xr:uid="{78D8857E-D57C-4CB0-AD91-EE2578F59C63}"/>
  <tableColumns count="12">
    <tableColumn id="1" xr3:uid="{B21DBA5D-6F68-480F-85CF-8B5C7FF43DF0}" name="CustomerID"/>
    <tableColumn id="2" xr3:uid="{8BE1EB92-9D0A-4DB5-AE85-DD6FF1DABEA0}" name="CompanyName"/>
    <tableColumn id="3" xr3:uid="{CE379297-CE0E-4F2E-B912-29DA06A67E6E}" name="ContactName"/>
    <tableColumn id="4" xr3:uid="{09CEAB04-AC37-4EE4-9E1B-06A1C19205BB}" name="ContactTitle"/>
    <tableColumn id="5" xr3:uid="{315DFFE6-49F0-44DD-B754-15BDC96A34B7}" name="Address"/>
    <tableColumn id="6" xr3:uid="{2188315D-E144-421A-8D4F-1502327D0207}" name="City"/>
    <tableColumn id="7" xr3:uid="{93318FDC-0816-4C48-A348-1DF8D3628684}" name="Region"/>
    <tableColumn id="8" xr3:uid="{AB466EB2-EE9C-4FAB-B47F-493FB8E784C7}" name="PostalCode"/>
    <tableColumn id="9" xr3:uid="{01AC63A5-9504-4996-B5E7-69F3F4E3E2E8}" name="Country"/>
    <tableColumn id="10" xr3:uid="{5E6656F1-A37A-49EF-8882-1A9F481122F3}" name="Phone"/>
    <tableColumn id="11" xr3:uid="{B65692BE-6423-4631-99F2-60FD64404ED4}" name="Fax"/>
    <tableColumn id="12" xr3:uid="{1AD71F15-E06A-4DF0-8042-EC0CEBC86E6C}" name="Pays et Ville" dataDxfId="0">
      <calculatedColumnFormula>UPPER(Tableau1[[#This Row],[Country]]) &amp; " " &amp; UPPER(Tableau1[[#This Row],[City]])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81598-153F-4CF9-9F9D-687F64EE258C}">
  <dimension ref="A1:L93"/>
  <sheetViews>
    <sheetView tabSelected="1" topLeftCell="B1" workbookViewId="0">
      <selection activeCell="L1" sqref="L1:L93"/>
    </sheetView>
  </sheetViews>
  <sheetFormatPr baseColWidth="10" defaultColWidth="11.42578125" defaultRowHeight="15" x14ac:dyDescent="0.25"/>
  <cols>
    <col min="1" max="1" width="13.28515625" customWidth="1"/>
    <col min="2" max="2" width="16.5703125" customWidth="1"/>
    <col min="3" max="3" width="15" customWidth="1"/>
    <col min="4" max="4" width="13.42578125" customWidth="1"/>
    <col min="8" max="8" width="12.85546875" customWidth="1"/>
    <col min="12" max="12" width="27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676</v>
      </c>
    </row>
    <row r="2" spans="1:12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14</v>
      </c>
      <c r="J2" t="s">
        <v>13</v>
      </c>
      <c r="K2" t="s">
        <v>13</v>
      </c>
      <c r="L2" s="2" t="str">
        <f>UPPER(Tableau1[[#This Row],[Country]]) &amp; " " &amp; UPPER(Tableau1[[#This Row],[City]])</f>
        <v>GERMANY NULL</v>
      </c>
    </row>
    <row r="3" spans="1:12" x14ac:dyDescent="0.25">
      <c r="A3" t="s">
        <v>15</v>
      </c>
      <c r="B3" t="s">
        <v>12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  <c r="H3">
        <v>12209</v>
      </c>
      <c r="I3" t="s">
        <v>14</v>
      </c>
      <c r="J3" t="s">
        <v>20</v>
      </c>
      <c r="K3" t="s">
        <v>21</v>
      </c>
      <c r="L3" s="2" t="str">
        <f>UPPER(Tableau1[[#This Row],[Country]]) &amp; " " &amp; UPPER(Tableau1[[#This Row],[City]])</f>
        <v>GERMANY BERLIN</v>
      </c>
    </row>
    <row r="4" spans="1:12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13</v>
      </c>
      <c r="H4">
        <v>5021</v>
      </c>
      <c r="I4" t="s">
        <v>28</v>
      </c>
      <c r="J4" t="s">
        <v>29</v>
      </c>
      <c r="K4" t="s">
        <v>30</v>
      </c>
      <c r="L4" s="2" t="str">
        <f>UPPER(Tableau1[[#This Row],[Country]]) &amp; " " &amp; UPPER(Tableau1[[#This Row],[City]])</f>
        <v>MEXICO MÉXICO D.F.</v>
      </c>
    </row>
    <row r="5" spans="1:12" x14ac:dyDescent="0.25">
      <c r="A5" t="s">
        <v>31</v>
      </c>
      <c r="B5" t="s">
        <v>32</v>
      </c>
      <c r="C5" t="s">
        <v>33</v>
      </c>
      <c r="D5" t="s">
        <v>25</v>
      </c>
      <c r="E5" t="s">
        <v>34</v>
      </c>
      <c r="F5" t="s">
        <v>27</v>
      </c>
      <c r="G5" t="s">
        <v>13</v>
      </c>
      <c r="H5">
        <v>5023</v>
      </c>
      <c r="I5" t="s">
        <v>28</v>
      </c>
      <c r="J5" t="s">
        <v>35</v>
      </c>
      <c r="K5" t="s">
        <v>13</v>
      </c>
      <c r="L5" s="2" t="str">
        <f>UPPER(Tableau1[[#This Row],[Country]]) &amp; " " &amp; UPPER(Tableau1[[#This Row],[City]])</f>
        <v>MEXICO MÉXICO D.F.</v>
      </c>
    </row>
    <row r="6" spans="1:12" x14ac:dyDescent="0.25">
      <c r="A6" t="s">
        <v>36</v>
      </c>
      <c r="B6" t="s">
        <v>37</v>
      </c>
      <c r="C6" t="s">
        <v>38</v>
      </c>
      <c r="D6" t="s">
        <v>17</v>
      </c>
      <c r="E6" t="s">
        <v>39</v>
      </c>
      <c r="F6" t="s">
        <v>40</v>
      </c>
      <c r="G6" t="s">
        <v>13</v>
      </c>
      <c r="H6" t="s">
        <v>41</v>
      </c>
      <c r="I6" t="s">
        <v>42</v>
      </c>
      <c r="J6" t="s">
        <v>43</v>
      </c>
      <c r="K6" t="s">
        <v>44</v>
      </c>
      <c r="L6" s="2" t="str">
        <f>UPPER(Tableau1[[#This Row],[Country]]) &amp; " " &amp; UPPER(Tableau1[[#This Row],[City]])</f>
        <v>UK LONDON</v>
      </c>
    </row>
    <row r="7" spans="1:12" x14ac:dyDescent="0.25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 t="s">
        <v>13</v>
      </c>
      <c r="H7" t="s">
        <v>51</v>
      </c>
      <c r="I7" t="s">
        <v>52</v>
      </c>
      <c r="J7" t="s">
        <v>53</v>
      </c>
      <c r="K7" t="s">
        <v>54</v>
      </c>
      <c r="L7" s="2" t="str">
        <f>UPPER(Tableau1[[#This Row],[Country]]) &amp; " " &amp; UPPER(Tableau1[[#This Row],[City]])</f>
        <v>SWEDEN LULEÅ</v>
      </c>
    </row>
    <row r="8" spans="1:12" x14ac:dyDescent="0.25">
      <c r="A8" t="s">
        <v>55</v>
      </c>
      <c r="B8" t="s">
        <v>56</v>
      </c>
      <c r="C8" t="s">
        <v>57</v>
      </c>
      <c r="D8" t="s">
        <v>17</v>
      </c>
      <c r="E8" t="s">
        <v>58</v>
      </c>
      <c r="F8" t="s">
        <v>59</v>
      </c>
      <c r="G8" t="s">
        <v>13</v>
      </c>
      <c r="H8">
        <v>68306</v>
      </c>
      <c r="I8" t="s">
        <v>14</v>
      </c>
      <c r="J8" t="s">
        <v>60</v>
      </c>
      <c r="K8" t="s">
        <v>61</v>
      </c>
      <c r="L8" s="2" t="str">
        <f>UPPER(Tableau1[[#This Row],[Country]]) &amp; " " &amp; UPPER(Tableau1[[#This Row],[City]])</f>
        <v>GERMANY MANNHEIM</v>
      </c>
    </row>
    <row r="9" spans="1:12" x14ac:dyDescent="0.25">
      <c r="A9" t="s">
        <v>62</v>
      </c>
      <c r="B9" t="s">
        <v>63</v>
      </c>
      <c r="C9" t="s">
        <v>64</v>
      </c>
      <c r="D9" t="s">
        <v>65</v>
      </c>
      <c r="E9" t="s">
        <v>66</v>
      </c>
      <c r="F9" t="s">
        <v>67</v>
      </c>
      <c r="G9" t="s">
        <v>13</v>
      </c>
      <c r="H9">
        <v>67000</v>
      </c>
      <c r="I9" t="s">
        <v>68</v>
      </c>
      <c r="J9" t="s">
        <v>69</v>
      </c>
      <c r="K9" t="s">
        <v>70</v>
      </c>
      <c r="L9" s="2" t="str">
        <f>UPPER(Tableau1[[#This Row],[Country]]) &amp; " " &amp; UPPER(Tableau1[[#This Row],[City]])</f>
        <v>FRANCE STRASBOURG</v>
      </c>
    </row>
    <row r="10" spans="1:12" x14ac:dyDescent="0.25">
      <c r="A10" t="s">
        <v>71</v>
      </c>
      <c r="B10" t="s">
        <v>72</v>
      </c>
      <c r="C10" t="s">
        <v>73</v>
      </c>
      <c r="D10" t="s">
        <v>25</v>
      </c>
      <c r="E10" t="s">
        <v>74</v>
      </c>
      <c r="F10" t="s">
        <v>75</v>
      </c>
      <c r="G10" t="s">
        <v>13</v>
      </c>
      <c r="H10">
        <v>28023</v>
      </c>
      <c r="I10" t="s">
        <v>76</v>
      </c>
      <c r="J10" t="s">
        <v>77</v>
      </c>
      <c r="K10" t="s">
        <v>78</v>
      </c>
      <c r="L10" s="2" t="str">
        <f>UPPER(Tableau1[[#This Row],[Country]]) &amp; " " &amp; UPPER(Tableau1[[#This Row],[City]])</f>
        <v>SPAIN MADRID</v>
      </c>
    </row>
    <row r="11" spans="1:12" x14ac:dyDescent="0.25">
      <c r="A11" t="s">
        <v>79</v>
      </c>
      <c r="B11" t="s">
        <v>80</v>
      </c>
      <c r="C11" t="s">
        <v>81</v>
      </c>
      <c r="D11" t="s">
        <v>25</v>
      </c>
      <c r="E11" t="s">
        <v>82</v>
      </c>
      <c r="F11" t="s">
        <v>83</v>
      </c>
      <c r="G11" t="s">
        <v>13</v>
      </c>
      <c r="H11">
        <v>13008</v>
      </c>
      <c r="I11" t="s">
        <v>68</v>
      </c>
      <c r="J11" t="s">
        <v>84</v>
      </c>
      <c r="K11" t="s">
        <v>85</v>
      </c>
      <c r="L11" s="2" t="str">
        <f>UPPER(Tableau1[[#This Row],[Country]]) &amp; " " &amp; UPPER(Tableau1[[#This Row],[City]])</f>
        <v>FRANCE MARSEILLE</v>
      </c>
    </row>
    <row r="12" spans="1:12" x14ac:dyDescent="0.25">
      <c r="A12" t="s">
        <v>86</v>
      </c>
      <c r="B12" t="s">
        <v>87</v>
      </c>
      <c r="C12" t="s">
        <v>88</v>
      </c>
      <c r="D12" t="s">
        <v>89</v>
      </c>
      <c r="E12" t="s">
        <v>90</v>
      </c>
      <c r="F12" t="s">
        <v>91</v>
      </c>
      <c r="G12" t="s">
        <v>92</v>
      </c>
      <c r="H12" t="s">
        <v>93</v>
      </c>
      <c r="I12" t="s">
        <v>94</v>
      </c>
      <c r="J12" t="s">
        <v>95</v>
      </c>
      <c r="K12" t="s">
        <v>96</v>
      </c>
      <c r="L12" s="2" t="str">
        <f>UPPER(Tableau1[[#This Row],[Country]]) &amp; " " &amp; UPPER(Tableau1[[#This Row],[City]])</f>
        <v>CANADA TSAWASSEN</v>
      </c>
    </row>
    <row r="13" spans="1:12" x14ac:dyDescent="0.25">
      <c r="A13" t="s">
        <v>97</v>
      </c>
      <c r="B13" t="s">
        <v>98</v>
      </c>
      <c r="C13" t="s">
        <v>99</v>
      </c>
      <c r="D13" t="s">
        <v>17</v>
      </c>
      <c r="E13" t="s">
        <v>100</v>
      </c>
      <c r="F13" t="s">
        <v>40</v>
      </c>
      <c r="G13" t="s">
        <v>13</v>
      </c>
      <c r="H13" t="s">
        <v>101</v>
      </c>
      <c r="I13" t="s">
        <v>42</v>
      </c>
      <c r="J13" t="s">
        <v>102</v>
      </c>
      <c r="K13" t="s">
        <v>13</v>
      </c>
      <c r="L13" s="2" t="str">
        <f>UPPER(Tableau1[[#This Row],[Country]]) &amp; " " &amp; UPPER(Tableau1[[#This Row],[City]])</f>
        <v>UK LONDON</v>
      </c>
    </row>
    <row r="14" spans="1:12" x14ac:dyDescent="0.25">
      <c r="A14" t="s">
        <v>103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 t="s">
        <v>13</v>
      </c>
      <c r="H14">
        <v>1010</v>
      </c>
      <c r="I14" t="s">
        <v>109</v>
      </c>
      <c r="J14" t="s">
        <v>110</v>
      </c>
      <c r="K14" t="s">
        <v>111</v>
      </c>
      <c r="L14" s="2" t="str">
        <f>UPPER(Tableau1[[#This Row],[Country]]) &amp; " " &amp; UPPER(Tableau1[[#This Row],[City]])</f>
        <v>ARGENTINA BUENOS AIRES</v>
      </c>
    </row>
    <row r="15" spans="1:12" x14ac:dyDescent="0.25">
      <c r="A15" t="s">
        <v>112</v>
      </c>
      <c r="B15" t="s">
        <v>113</v>
      </c>
      <c r="C15" t="s">
        <v>114</v>
      </c>
      <c r="D15" t="s">
        <v>65</v>
      </c>
      <c r="E15" t="s">
        <v>115</v>
      </c>
      <c r="F15" t="s">
        <v>27</v>
      </c>
      <c r="G15" t="s">
        <v>13</v>
      </c>
      <c r="H15">
        <v>5022</v>
      </c>
      <c r="I15" t="s">
        <v>28</v>
      </c>
      <c r="J15" t="s">
        <v>116</v>
      </c>
      <c r="K15" t="s">
        <v>117</v>
      </c>
      <c r="L15" s="2" t="str">
        <f>UPPER(Tableau1[[#This Row],[Country]]) &amp; " " &amp; UPPER(Tableau1[[#This Row],[City]])</f>
        <v>MEXICO MÉXICO D.F.</v>
      </c>
    </row>
    <row r="16" spans="1:12" x14ac:dyDescent="0.25">
      <c r="A16" t="s">
        <v>118</v>
      </c>
      <c r="B16" t="s">
        <v>119</v>
      </c>
      <c r="C16" t="s">
        <v>120</v>
      </c>
      <c r="D16" t="s">
        <v>25</v>
      </c>
      <c r="E16" t="s">
        <v>121</v>
      </c>
      <c r="F16" t="s">
        <v>122</v>
      </c>
      <c r="G16" t="s">
        <v>13</v>
      </c>
      <c r="H16">
        <v>3012</v>
      </c>
      <c r="I16" t="s">
        <v>123</v>
      </c>
      <c r="J16" t="s">
        <v>124</v>
      </c>
      <c r="K16" t="s">
        <v>13</v>
      </c>
      <c r="L16" s="2" t="str">
        <f>UPPER(Tableau1[[#This Row],[Country]]) &amp; " " &amp; UPPER(Tableau1[[#This Row],[City]])</f>
        <v>SWITZERLAND BERN</v>
      </c>
    </row>
    <row r="17" spans="1:12" x14ac:dyDescent="0.25">
      <c r="A17" t="s">
        <v>125</v>
      </c>
      <c r="B17" t="s">
        <v>126</v>
      </c>
      <c r="C17" t="s">
        <v>127</v>
      </c>
      <c r="D17" t="s">
        <v>128</v>
      </c>
      <c r="E17" t="s">
        <v>129</v>
      </c>
      <c r="F17" t="s">
        <v>130</v>
      </c>
      <c r="G17" t="s">
        <v>131</v>
      </c>
      <c r="H17" t="s">
        <v>132</v>
      </c>
      <c r="I17" t="s">
        <v>133</v>
      </c>
      <c r="J17" t="s">
        <v>134</v>
      </c>
      <c r="K17" t="s">
        <v>13</v>
      </c>
      <c r="L17" s="2" t="str">
        <f>UPPER(Tableau1[[#This Row],[Country]]) &amp; " " &amp; UPPER(Tableau1[[#This Row],[City]])</f>
        <v>BRAZIL SAO PAULO</v>
      </c>
    </row>
    <row r="18" spans="1:12" x14ac:dyDescent="0.25">
      <c r="A18" t="s">
        <v>135</v>
      </c>
      <c r="B18" t="s">
        <v>136</v>
      </c>
      <c r="C18" t="s">
        <v>137</v>
      </c>
      <c r="D18" t="s">
        <v>17</v>
      </c>
      <c r="E18" t="s">
        <v>138</v>
      </c>
      <c r="F18" t="s">
        <v>40</v>
      </c>
      <c r="G18" t="s">
        <v>13</v>
      </c>
      <c r="H18" t="s">
        <v>139</v>
      </c>
      <c r="I18" t="s">
        <v>42</v>
      </c>
      <c r="J18" t="s">
        <v>140</v>
      </c>
      <c r="K18" t="s">
        <v>141</v>
      </c>
      <c r="L18" s="2" t="str">
        <f>UPPER(Tableau1[[#This Row],[Country]]) &amp; " " &amp; UPPER(Tableau1[[#This Row],[City]])</f>
        <v>UK LONDON</v>
      </c>
    </row>
    <row r="19" spans="1:12" x14ac:dyDescent="0.25">
      <c r="A19" t="s">
        <v>142</v>
      </c>
      <c r="B19" t="s">
        <v>143</v>
      </c>
      <c r="C19" t="s">
        <v>144</v>
      </c>
      <c r="D19" t="s">
        <v>48</v>
      </c>
      <c r="E19" t="s">
        <v>145</v>
      </c>
      <c r="F19" t="s">
        <v>146</v>
      </c>
      <c r="G19" t="s">
        <v>13</v>
      </c>
      <c r="H19">
        <v>52066</v>
      </c>
      <c r="I19" t="s">
        <v>14</v>
      </c>
      <c r="J19" t="s">
        <v>147</v>
      </c>
      <c r="K19" t="s">
        <v>148</v>
      </c>
      <c r="L19" s="2" t="str">
        <f>UPPER(Tableau1[[#This Row],[Country]]) &amp; " " &amp; UPPER(Tableau1[[#This Row],[City]])</f>
        <v>GERMANY AACHEN</v>
      </c>
    </row>
    <row r="20" spans="1:12" x14ac:dyDescent="0.25">
      <c r="A20" t="s">
        <v>149</v>
      </c>
      <c r="B20" t="s">
        <v>150</v>
      </c>
      <c r="C20" t="s">
        <v>151</v>
      </c>
      <c r="D20" t="s">
        <v>25</v>
      </c>
      <c r="E20" t="s">
        <v>152</v>
      </c>
      <c r="F20" t="s">
        <v>153</v>
      </c>
      <c r="G20" t="s">
        <v>13</v>
      </c>
      <c r="H20">
        <v>44000</v>
      </c>
      <c r="I20" t="s">
        <v>68</v>
      </c>
      <c r="J20" t="s">
        <v>154</v>
      </c>
      <c r="K20" t="s">
        <v>155</v>
      </c>
      <c r="L20" s="2" t="str">
        <f>UPPER(Tableau1[[#This Row],[Country]]) &amp; " " &amp; UPPER(Tableau1[[#This Row],[City]])</f>
        <v>FRANCE NANTES</v>
      </c>
    </row>
    <row r="21" spans="1:12" x14ac:dyDescent="0.25">
      <c r="A21" t="s">
        <v>156</v>
      </c>
      <c r="B21" t="s">
        <v>157</v>
      </c>
      <c r="C21" t="s">
        <v>158</v>
      </c>
      <c r="D21" t="s">
        <v>106</v>
      </c>
      <c r="E21" t="s">
        <v>159</v>
      </c>
      <c r="F21" t="s">
        <v>40</v>
      </c>
      <c r="G21" t="s">
        <v>13</v>
      </c>
      <c r="H21" t="s">
        <v>160</v>
      </c>
      <c r="I21" t="s">
        <v>42</v>
      </c>
      <c r="J21" t="s">
        <v>161</v>
      </c>
      <c r="K21" t="s">
        <v>162</v>
      </c>
      <c r="L21" s="2" t="str">
        <f>UPPER(Tableau1[[#This Row],[Country]]) &amp; " " &amp; UPPER(Tableau1[[#This Row],[City]])</f>
        <v>UK LONDON</v>
      </c>
    </row>
    <row r="22" spans="1:12" x14ac:dyDescent="0.25">
      <c r="A22" t="s">
        <v>163</v>
      </c>
      <c r="B22" t="s">
        <v>164</v>
      </c>
      <c r="C22" t="s">
        <v>165</v>
      </c>
      <c r="D22" t="s">
        <v>166</v>
      </c>
      <c r="E22" t="s">
        <v>167</v>
      </c>
      <c r="F22" t="s">
        <v>168</v>
      </c>
      <c r="G22" t="s">
        <v>13</v>
      </c>
      <c r="H22">
        <v>8010</v>
      </c>
      <c r="I22" t="s">
        <v>169</v>
      </c>
      <c r="J22" t="s">
        <v>170</v>
      </c>
      <c r="K22" t="s">
        <v>171</v>
      </c>
      <c r="L22" s="2" t="str">
        <f>UPPER(Tableau1[[#This Row],[Country]]) &amp; " " &amp; UPPER(Tableau1[[#This Row],[City]])</f>
        <v>AUSTRIA GRAZ</v>
      </c>
    </row>
    <row r="23" spans="1:12" x14ac:dyDescent="0.25">
      <c r="A23" t="s">
        <v>172</v>
      </c>
      <c r="B23" t="s">
        <v>173</v>
      </c>
      <c r="C23" t="s">
        <v>174</v>
      </c>
      <c r="D23" t="s">
        <v>175</v>
      </c>
      <c r="E23" t="s">
        <v>176</v>
      </c>
      <c r="F23" t="s">
        <v>130</v>
      </c>
      <c r="G23" t="s">
        <v>131</v>
      </c>
      <c r="H23" t="s">
        <v>177</v>
      </c>
      <c r="I23" t="s">
        <v>133</v>
      </c>
      <c r="J23" t="s">
        <v>178</v>
      </c>
      <c r="K23" t="s">
        <v>13</v>
      </c>
      <c r="L23" s="2" t="str">
        <f>UPPER(Tableau1[[#This Row],[Country]]) &amp; " " &amp; UPPER(Tableau1[[#This Row],[City]])</f>
        <v>BRAZIL SAO PAULO</v>
      </c>
    </row>
    <row r="24" spans="1:12" x14ac:dyDescent="0.25">
      <c r="A24" t="s">
        <v>179</v>
      </c>
      <c r="B24" t="s">
        <v>180</v>
      </c>
      <c r="C24" t="s">
        <v>181</v>
      </c>
      <c r="D24" t="s">
        <v>89</v>
      </c>
      <c r="E24" t="s">
        <v>182</v>
      </c>
      <c r="F24" t="s">
        <v>75</v>
      </c>
      <c r="G24" t="s">
        <v>13</v>
      </c>
      <c r="H24">
        <v>28034</v>
      </c>
      <c r="I24" t="s">
        <v>76</v>
      </c>
      <c r="J24" t="s">
        <v>183</v>
      </c>
      <c r="K24" t="s">
        <v>184</v>
      </c>
      <c r="L24" s="2" t="str">
        <f>UPPER(Tableau1[[#This Row],[Country]]) &amp; " " &amp; UPPER(Tableau1[[#This Row],[City]])</f>
        <v>SPAIN MADRID</v>
      </c>
    </row>
    <row r="25" spans="1:12" x14ac:dyDescent="0.25">
      <c r="A25" t="s">
        <v>185</v>
      </c>
      <c r="B25" t="s">
        <v>186</v>
      </c>
      <c r="C25" t="s">
        <v>187</v>
      </c>
      <c r="D25" t="s">
        <v>188</v>
      </c>
      <c r="E25" t="s">
        <v>189</v>
      </c>
      <c r="F25" t="s">
        <v>190</v>
      </c>
      <c r="G25" t="s">
        <v>13</v>
      </c>
      <c r="H25">
        <v>59000</v>
      </c>
      <c r="I25" t="s">
        <v>68</v>
      </c>
      <c r="J25" t="s">
        <v>191</v>
      </c>
      <c r="K25" t="s">
        <v>192</v>
      </c>
      <c r="L25" s="2" t="str">
        <f>UPPER(Tableau1[[#This Row],[Country]]) &amp; " " &amp; UPPER(Tableau1[[#This Row],[City]])</f>
        <v>FRANCE LILLE</v>
      </c>
    </row>
    <row r="26" spans="1:12" x14ac:dyDescent="0.25">
      <c r="A26" t="s">
        <v>193</v>
      </c>
      <c r="B26" t="s">
        <v>194</v>
      </c>
      <c r="C26" t="s">
        <v>195</v>
      </c>
      <c r="D26" t="s">
        <v>25</v>
      </c>
      <c r="E26" t="s">
        <v>196</v>
      </c>
      <c r="F26" t="s">
        <v>197</v>
      </c>
      <c r="G26" t="s">
        <v>13</v>
      </c>
      <c r="H26" t="s">
        <v>198</v>
      </c>
      <c r="I26" t="s">
        <v>52</v>
      </c>
      <c r="J26" t="s">
        <v>199</v>
      </c>
      <c r="K26" t="s">
        <v>13</v>
      </c>
      <c r="L26" s="2" t="str">
        <f>UPPER(Tableau1[[#This Row],[Country]]) &amp; " " &amp; UPPER(Tableau1[[#This Row],[City]])</f>
        <v>SWEDEN BRÄCKE</v>
      </c>
    </row>
    <row r="27" spans="1:12" x14ac:dyDescent="0.25">
      <c r="A27" t="s">
        <v>200</v>
      </c>
      <c r="B27" t="s">
        <v>201</v>
      </c>
      <c r="C27" t="s">
        <v>202</v>
      </c>
      <c r="D27" t="s">
        <v>65</v>
      </c>
      <c r="E27" t="s">
        <v>203</v>
      </c>
      <c r="F27" t="s">
        <v>204</v>
      </c>
      <c r="G27" t="s">
        <v>13</v>
      </c>
      <c r="H27">
        <v>80805</v>
      </c>
      <c r="I27" t="s">
        <v>14</v>
      </c>
      <c r="J27" t="s">
        <v>205</v>
      </c>
      <c r="K27" t="s">
        <v>206</v>
      </c>
      <c r="L27" s="2" t="str">
        <f>UPPER(Tableau1[[#This Row],[Country]]) &amp; " " &amp; UPPER(Tableau1[[#This Row],[City]])</f>
        <v>GERMANY MÜNCHEN</v>
      </c>
    </row>
    <row r="28" spans="1:12" x14ac:dyDescent="0.25">
      <c r="A28" t="s">
        <v>207</v>
      </c>
      <c r="B28" t="s">
        <v>208</v>
      </c>
      <c r="C28" t="s">
        <v>209</v>
      </c>
      <c r="D28" t="s">
        <v>65</v>
      </c>
      <c r="E28" t="s">
        <v>210</v>
      </c>
      <c r="F28" t="s">
        <v>153</v>
      </c>
      <c r="G28" t="s">
        <v>13</v>
      </c>
      <c r="H28">
        <v>44000</v>
      </c>
      <c r="I28" t="s">
        <v>68</v>
      </c>
      <c r="J28" t="s">
        <v>211</v>
      </c>
      <c r="K28" t="s">
        <v>212</v>
      </c>
      <c r="L28" s="2" t="str">
        <f>UPPER(Tableau1[[#This Row],[Country]]) &amp; " " &amp; UPPER(Tableau1[[#This Row],[City]])</f>
        <v>FRANCE NANTES</v>
      </c>
    </row>
    <row r="29" spans="1:12" x14ac:dyDescent="0.25">
      <c r="A29" t="s">
        <v>213</v>
      </c>
      <c r="B29" t="s">
        <v>214</v>
      </c>
      <c r="C29" t="s">
        <v>215</v>
      </c>
      <c r="D29" t="s">
        <v>17</v>
      </c>
      <c r="E29" t="s">
        <v>216</v>
      </c>
      <c r="F29" t="s">
        <v>217</v>
      </c>
      <c r="G29" t="s">
        <v>13</v>
      </c>
      <c r="H29">
        <v>10100</v>
      </c>
      <c r="I29" t="s">
        <v>218</v>
      </c>
      <c r="J29" t="s">
        <v>219</v>
      </c>
      <c r="K29" t="s">
        <v>220</v>
      </c>
      <c r="L29" s="2" t="str">
        <f>UPPER(Tableau1[[#This Row],[Country]]) &amp; " " &amp; UPPER(Tableau1[[#This Row],[City]])</f>
        <v>ITALY TORINO</v>
      </c>
    </row>
    <row r="30" spans="1:12" x14ac:dyDescent="0.25">
      <c r="A30" t="s">
        <v>221</v>
      </c>
      <c r="B30" t="s">
        <v>222</v>
      </c>
      <c r="C30" t="s">
        <v>223</v>
      </c>
      <c r="D30" t="s">
        <v>166</v>
      </c>
      <c r="E30" t="s">
        <v>224</v>
      </c>
      <c r="F30" t="s">
        <v>225</v>
      </c>
      <c r="G30" t="s">
        <v>13</v>
      </c>
      <c r="H30">
        <v>1675</v>
      </c>
      <c r="I30" t="s">
        <v>226</v>
      </c>
      <c r="J30" t="s">
        <v>227</v>
      </c>
      <c r="K30" t="s">
        <v>228</v>
      </c>
      <c r="L30" s="2" t="str">
        <f>UPPER(Tableau1[[#This Row],[Country]]) &amp; " " &amp; UPPER(Tableau1[[#This Row],[City]])</f>
        <v>PORTUGAL LISBOA</v>
      </c>
    </row>
    <row r="31" spans="1:12" x14ac:dyDescent="0.25">
      <c r="A31" t="s">
        <v>229</v>
      </c>
      <c r="B31" t="s">
        <v>230</v>
      </c>
      <c r="C31" t="s">
        <v>231</v>
      </c>
      <c r="D31" t="s">
        <v>65</v>
      </c>
      <c r="E31" t="s">
        <v>232</v>
      </c>
      <c r="F31" t="s">
        <v>233</v>
      </c>
      <c r="G31" t="s">
        <v>13</v>
      </c>
      <c r="H31">
        <v>8022</v>
      </c>
      <c r="I31" t="s">
        <v>76</v>
      </c>
      <c r="J31" t="s">
        <v>234</v>
      </c>
      <c r="K31" t="s">
        <v>235</v>
      </c>
      <c r="L31" s="2" t="str">
        <f>UPPER(Tableau1[[#This Row],[Country]]) &amp; " " &amp; UPPER(Tableau1[[#This Row],[City]])</f>
        <v>SPAIN BARCELONA</v>
      </c>
    </row>
    <row r="32" spans="1:12" x14ac:dyDescent="0.25">
      <c r="A32" t="s">
        <v>236</v>
      </c>
      <c r="B32" t="s">
        <v>237</v>
      </c>
      <c r="C32" t="s">
        <v>238</v>
      </c>
      <c r="D32" t="s">
        <v>166</v>
      </c>
      <c r="E32" t="s">
        <v>239</v>
      </c>
      <c r="F32" t="s">
        <v>240</v>
      </c>
      <c r="G32" t="s">
        <v>13</v>
      </c>
      <c r="H32">
        <v>41101</v>
      </c>
      <c r="I32" t="s">
        <v>76</v>
      </c>
      <c r="J32" t="s">
        <v>241</v>
      </c>
      <c r="K32" t="s">
        <v>13</v>
      </c>
      <c r="L32" s="2" t="str">
        <f>UPPER(Tableau1[[#This Row],[Country]]) &amp; " " &amp; UPPER(Tableau1[[#This Row],[City]])</f>
        <v>SPAIN SEVILLA</v>
      </c>
    </row>
    <row r="33" spans="1:12" x14ac:dyDescent="0.25">
      <c r="A33" t="s">
        <v>242</v>
      </c>
      <c r="B33" t="s">
        <v>243</v>
      </c>
      <c r="C33" t="s">
        <v>244</v>
      </c>
      <c r="D33" t="s">
        <v>128</v>
      </c>
      <c r="E33" t="s">
        <v>245</v>
      </c>
      <c r="F33" t="s">
        <v>246</v>
      </c>
      <c r="G33" t="s">
        <v>131</v>
      </c>
      <c r="H33" t="s">
        <v>247</v>
      </c>
      <c r="I33" t="s">
        <v>133</v>
      </c>
      <c r="J33" t="s">
        <v>248</v>
      </c>
      <c r="K33" t="s">
        <v>13</v>
      </c>
      <c r="L33" s="2" t="str">
        <f>UPPER(Tableau1[[#This Row],[Country]]) &amp; " " &amp; UPPER(Tableau1[[#This Row],[City]])</f>
        <v>BRAZIL CAMPINAS</v>
      </c>
    </row>
    <row r="34" spans="1:12" x14ac:dyDescent="0.25">
      <c r="A34" t="s">
        <v>249</v>
      </c>
      <c r="B34" t="s">
        <v>250</v>
      </c>
      <c r="C34" t="s">
        <v>251</v>
      </c>
      <c r="D34" t="s">
        <v>65</v>
      </c>
      <c r="E34" t="s">
        <v>252</v>
      </c>
      <c r="F34" t="s">
        <v>253</v>
      </c>
      <c r="G34" t="s">
        <v>254</v>
      </c>
      <c r="H34">
        <v>97403</v>
      </c>
      <c r="I34" t="s">
        <v>255</v>
      </c>
      <c r="J34" t="s">
        <v>256</v>
      </c>
      <c r="K34" t="s">
        <v>13</v>
      </c>
      <c r="L34" s="2" t="str">
        <f>UPPER(Tableau1[[#This Row],[Country]]) &amp; " " &amp; UPPER(Tableau1[[#This Row],[City]])</f>
        <v>USA EUGENE</v>
      </c>
    </row>
    <row r="35" spans="1:12" x14ac:dyDescent="0.25">
      <c r="A35" t="s">
        <v>257</v>
      </c>
      <c r="B35" t="s">
        <v>258</v>
      </c>
      <c r="C35" t="s">
        <v>259</v>
      </c>
      <c r="D35" t="s">
        <v>25</v>
      </c>
      <c r="E35" t="s">
        <v>260</v>
      </c>
      <c r="F35" t="s">
        <v>261</v>
      </c>
      <c r="G35" t="s">
        <v>262</v>
      </c>
      <c r="H35">
        <v>1081</v>
      </c>
      <c r="I35" t="s">
        <v>263</v>
      </c>
      <c r="J35" t="s">
        <v>264</v>
      </c>
      <c r="K35" t="s">
        <v>265</v>
      </c>
      <c r="L35" s="2" t="str">
        <f>UPPER(Tableau1[[#This Row],[Country]]) &amp; " " &amp; UPPER(Tableau1[[#This Row],[City]])</f>
        <v>VENEZUELA CARACAS</v>
      </c>
    </row>
    <row r="36" spans="1:12" x14ac:dyDescent="0.25">
      <c r="A36" t="s">
        <v>266</v>
      </c>
      <c r="B36" t="s">
        <v>267</v>
      </c>
      <c r="C36" t="s">
        <v>268</v>
      </c>
      <c r="D36" t="s">
        <v>89</v>
      </c>
      <c r="E36" t="s">
        <v>269</v>
      </c>
      <c r="F36" t="s">
        <v>270</v>
      </c>
      <c r="G36" t="s">
        <v>271</v>
      </c>
      <c r="H36" t="s">
        <v>272</v>
      </c>
      <c r="I36" t="s">
        <v>133</v>
      </c>
      <c r="J36" t="s">
        <v>273</v>
      </c>
      <c r="K36" t="s">
        <v>274</v>
      </c>
      <c r="L36" s="2" t="str">
        <f>UPPER(Tableau1[[#This Row],[Country]]) &amp; " " &amp; UPPER(Tableau1[[#This Row],[City]])</f>
        <v>BRAZIL RIO DE JANEIRO</v>
      </c>
    </row>
    <row r="37" spans="1:12" x14ac:dyDescent="0.25">
      <c r="A37" t="s">
        <v>275</v>
      </c>
      <c r="B37" t="s">
        <v>276</v>
      </c>
      <c r="C37" t="s">
        <v>277</v>
      </c>
      <c r="D37" t="s">
        <v>17</v>
      </c>
      <c r="E37" t="s">
        <v>278</v>
      </c>
      <c r="F37" t="s">
        <v>279</v>
      </c>
      <c r="G37" t="s">
        <v>280</v>
      </c>
      <c r="H37">
        <v>5022</v>
      </c>
      <c r="I37" t="s">
        <v>263</v>
      </c>
      <c r="J37" t="s">
        <v>281</v>
      </c>
      <c r="K37" t="s">
        <v>282</v>
      </c>
      <c r="L37" s="2" t="str">
        <f>UPPER(Tableau1[[#This Row],[Country]]) &amp; " " &amp; UPPER(Tableau1[[#This Row],[City]])</f>
        <v>VENEZUELA SAN CRISTÓBAL</v>
      </c>
    </row>
    <row r="38" spans="1:12" x14ac:dyDescent="0.25">
      <c r="A38" t="s">
        <v>283</v>
      </c>
      <c r="B38" t="s">
        <v>284</v>
      </c>
      <c r="C38" t="s">
        <v>285</v>
      </c>
      <c r="D38" t="s">
        <v>17</v>
      </c>
      <c r="E38" t="s">
        <v>286</v>
      </c>
      <c r="F38" t="s">
        <v>287</v>
      </c>
      <c r="G38" t="s">
        <v>254</v>
      </c>
      <c r="H38">
        <v>97827</v>
      </c>
      <c r="I38" t="s">
        <v>255</v>
      </c>
      <c r="J38" t="s">
        <v>288</v>
      </c>
      <c r="K38" t="s">
        <v>289</v>
      </c>
      <c r="L38" s="2" t="str">
        <f>UPPER(Tableau1[[#This Row],[Country]]) &amp; " " &amp; UPPER(Tableau1[[#This Row],[City]])</f>
        <v>USA ELGIN</v>
      </c>
    </row>
    <row r="39" spans="1:12" x14ac:dyDescent="0.25">
      <c r="A39" t="s">
        <v>290</v>
      </c>
      <c r="B39" t="s">
        <v>291</v>
      </c>
      <c r="C39" t="s">
        <v>292</v>
      </c>
      <c r="D39" t="s">
        <v>128</v>
      </c>
      <c r="E39" t="s">
        <v>293</v>
      </c>
      <c r="F39" t="s">
        <v>294</v>
      </c>
      <c r="G39" t="s">
        <v>295</v>
      </c>
      <c r="H39" t="s">
        <v>13</v>
      </c>
      <c r="I39" t="s">
        <v>296</v>
      </c>
      <c r="J39" s="1">
        <v>2967542</v>
      </c>
      <c r="K39" s="1">
        <v>29673333</v>
      </c>
      <c r="L39" s="2" t="str">
        <f>UPPER(Tableau1[[#This Row],[Country]]) &amp; " " &amp; UPPER(Tableau1[[#This Row],[City]])</f>
        <v>IRELAND CORK</v>
      </c>
    </row>
    <row r="40" spans="1:12" x14ac:dyDescent="0.25">
      <c r="A40" t="s">
        <v>297</v>
      </c>
      <c r="B40" t="s">
        <v>298</v>
      </c>
      <c r="C40" t="s">
        <v>299</v>
      </c>
      <c r="D40" t="s">
        <v>65</v>
      </c>
      <c r="E40" t="s">
        <v>300</v>
      </c>
      <c r="F40" t="s">
        <v>301</v>
      </c>
      <c r="G40" t="s">
        <v>302</v>
      </c>
      <c r="H40" t="s">
        <v>303</v>
      </c>
      <c r="I40" t="s">
        <v>42</v>
      </c>
      <c r="J40" t="s">
        <v>304</v>
      </c>
      <c r="K40" t="s">
        <v>13</v>
      </c>
      <c r="L40" s="2" t="str">
        <f>UPPER(Tableau1[[#This Row],[Country]]) &amp; " " &amp; UPPER(Tableau1[[#This Row],[City]])</f>
        <v>UK COWES</v>
      </c>
    </row>
    <row r="41" spans="1:12" x14ac:dyDescent="0.25">
      <c r="A41" t="s">
        <v>305</v>
      </c>
      <c r="B41" t="s">
        <v>306</v>
      </c>
      <c r="C41" t="s">
        <v>307</v>
      </c>
      <c r="D41" t="s">
        <v>128</v>
      </c>
      <c r="E41" t="s">
        <v>308</v>
      </c>
      <c r="F41" t="s">
        <v>309</v>
      </c>
      <c r="G41" t="s">
        <v>13</v>
      </c>
      <c r="H41">
        <v>14776</v>
      </c>
      <c r="I41" t="s">
        <v>14</v>
      </c>
      <c r="J41" t="s">
        <v>310</v>
      </c>
      <c r="K41" t="s">
        <v>13</v>
      </c>
      <c r="L41" s="2" t="str">
        <f>UPPER(Tableau1[[#This Row],[Country]]) &amp; " " &amp; UPPER(Tableau1[[#This Row],[City]])</f>
        <v>GERMANY BRANDENBURG</v>
      </c>
    </row>
    <row r="42" spans="1:12" x14ac:dyDescent="0.25">
      <c r="A42" t="s">
        <v>311</v>
      </c>
      <c r="B42" t="s">
        <v>312</v>
      </c>
      <c r="C42" t="s">
        <v>313</v>
      </c>
      <c r="D42" t="s">
        <v>17</v>
      </c>
      <c r="E42" t="s">
        <v>314</v>
      </c>
      <c r="F42" t="s">
        <v>315</v>
      </c>
      <c r="G42" t="s">
        <v>13</v>
      </c>
      <c r="H42">
        <v>78000</v>
      </c>
      <c r="I42" t="s">
        <v>68</v>
      </c>
      <c r="J42" t="s">
        <v>316</v>
      </c>
      <c r="K42" t="s">
        <v>317</v>
      </c>
      <c r="L42" s="2" t="str">
        <f>UPPER(Tableau1[[#This Row],[Country]]) &amp; " " &amp; UPPER(Tableau1[[#This Row],[City]])</f>
        <v>FRANCE VERSAILLES</v>
      </c>
    </row>
    <row r="43" spans="1:12" x14ac:dyDescent="0.25">
      <c r="A43" t="s">
        <v>318</v>
      </c>
      <c r="B43" t="s">
        <v>319</v>
      </c>
      <c r="C43" t="s">
        <v>320</v>
      </c>
      <c r="D43" t="s">
        <v>166</v>
      </c>
      <c r="E43" t="s">
        <v>321</v>
      </c>
      <c r="F43" t="s">
        <v>322</v>
      </c>
      <c r="G43" t="s">
        <v>13</v>
      </c>
      <c r="H43">
        <v>31000</v>
      </c>
      <c r="I43" t="s">
        <v>68</v>
      </c>
      <c r="J43" t="s">
        <v>323</v>
      </c>
      <c r="K43" t="s">
        <v>324</v>
      </c>
      <c r="L43" s="2" t="str">
        <f>UPPER(Tableau1[[#This Row],[Country]]) &amp; " " &amp; UPPER(Tableau1[[#This Row],[City]])</f>
        <v>FRANCE TOULOUSE</v>
      </c>
    </row>
    <row r="44" spans="1:12" x14ac:dyDescent="0.25">
      <c r="A44" t="s">
        <v>325</v>
      </c>
      <c r="B44" t="s">
        <v>326</v>
      </c>
      <c r="C44" t="s">
        <v>327</v>
      </c>
      <c r="D44" t="s">
        <v>175</v>
      </c>
      <c r="E44" t="s">
        <v>328</v>
      </c>
      <c r="F44" t="s">
        <v>329</v>
      </c>
      <c r="G44" t="s">
        <v>92</v>
      </c>
      <c r="H44" t="s">
        <v>330</v>
      </c>
      <c r="I44" t="s">
        <v>94</v>
      </c>
      <c r="J44" t="s">
        <v>331</v>
      </c>
      <c r="K44" t="s">
        <v>332</v>
      </c>
      <c r="L44" s="2" t="str">
        <f>UPPER(Tableau1[[#This Row],[Country]]) &amp; " " &amp; UPPER(Tableau1[[#This Row],[City]])</f>
        <v>CANADA VANCOUVER</v>
      </c>
    </row>
    <row r="45" spans="1:12" x14ac:dyDescent="0.25">
      <c r="A45" t="s">
        <v>333</v>
      </c>
      <c r="B45" t="s">
        <v>334</v>
      </c>
      <c r="C45" t="s">
        <v>335</v>
      </c>
      <c r="D45" t="s">
        <v>65</v>
      </c>
      <c r="E45" t="s">
        <v>336</v>
      </c>
      <c r="F45" t="s">
        <v>337</v>
      </c>
      <c r="G45" t="s">
        <v>338</v>
      </c>
      <c r="H45">
        <v>99362</v>
      </c>
      <c r="I45" t="s">
        <v>255</v>
      </c>
      <c r="J45" t="s">
        <v>339</v>
      </c>
      <c r="K45" t="s">
        <v>340</v>
      </c>
      <c r="L45" s="2" t="str">
        <f>UPPER(Tableau1[[#This Row],[Country]]) &amp; " " &amp; UPPER(Tableau1[[#This Row],[City]])</f>
        <v>USA WALLA WALLA</v>
      </c>
    </row>
    <row r="46" spans="1:12" x14ac:dyDescent="0.25">
      <c r="A46" t="s">
        <v>341</v>
      </c>
      <c r="B46" t="s">
        <v>342</v>
      </c>
      <c r="C46" t="s">
        <v>343</v>
      </c>
      <c r="D46" t="s">
        <v>17</v>
      </c>
      <c r="E46" t="s">
        <v>344</v>
      </c>
      <c r="F46" t="s">
        <v>345</v>
      </c>
      <c r="G46" t="s">
        <v>13</v>
      </c>
      <c r="H46">
        <v>60528</v>
      </c>
      <c r="I46" t="s">
        <v>14</v>
      </c>
      <c r="J46" t="s">
        <v>346</v>
      </c>
      <c r="K46" t="s">
        <v>347</v>
      </c>
      <c r="L46" s="2" t="str">
        <f>UPPER(Tableau1[[#This Row],[Country]]) &amp; " " &amp; UPPER(Tableau1[[#This Row],[City]])</f>
        <v>GERMANY FRANKFURT A.M.</v>
      </c>
    </row>
    <row r="47" spans="1:12" x14ac:dyDescent="0.25">
      <c r="A47" t="s">
        <v>348</v>
      </c>
      <c r="B47" t="s">
        <v>349</v>
      </c>
      <c r="C47" t="s">
        <v>350</v>
      </c>
      <c r="D47" t="s">
        <v>25</v>
      </c>
      <c r="E47" t="s">
        <v>351</v>
      </c>
      <c r="F47" t="s">
        <v>352</v>
      </c>
      <c r="G47" t="s">
        <v>353</v>
      </c>
      <c r="H47">
        <v>94117</v>
      </c>
      <c r="I47" t="s">
        <v>255</v>
      </c>
      <c r="J47" t="s">
        <v>354</v>
      </c>
      <c r="K47" t="s">
        <v>13</v>
      </c>
      <c r="L47" s="2" t="str">
        <f>UPPER(Tableau1[[#This Row],[Country]]) &amp; " " &amp; UPPER(Tableau1[[#This Row],[City]])</f>
        <v>USA SAN FRANCISCO</v>
      </c>
    </row>
    <row r="48" spans="1:12" x14ac:dyDescent="0.25">
      <c r="A48" t="s">
        <v>355</v>
      </c>
      <c r="B48" t="s">
        <v>356</v>
      </c>
      <c r="C48" t="s">
        <v>357</v>
      </c>
      <c r="D48" t="s">
        <v>89</v>
      </c>
      <c r="E48" t="s">
        <v>358</v>
      </c>
      <c r="F48" t="s">
        <v>359</v>
      </c>
      <c r="G48" t="s">
        <v>360</v>
      </c>
      <c r="H48">
        <v>3508</v>
      </c>
      <c r="I48" t="s">
        <v>263</v>
      </c>
      <c r="J48" t="s">
        <v>361</v>
      </c>
      <c r="K48" t="s">
        <v>362</v>
      </c>
      <c r="L48" s="2" t="str">
        <f>UPPER(Tableau1[[#This Row],[Country]]) &amp; " " &amp; UPPER(Tableau1[[#This Row],[City]])</f>
        <v>VENEZUELA BARQUISIMETO</v>
      </c>
    </row>
    <row r="49" spans="1:12" x14ac:dyDescent="0.25">
      <c r="A49" t="s">
        <v>363</v>
      </c>
      <c r="B49" t="s">
        <v>364</v>
      </c>
      <c r="C49" t="s">
        <v>365</v>
      </c>
      <c r="D49" t="s">
        <v>25</v>
      </c>
      <c r="E49" t="s">
        <v>366</v>
      </c>
      <c r="F49" t="s">
        <v>367</v>
      </c>
      <c r="G49" t="s">
        <v>368</v>
      </c>
      <c r="H49">
        <v>4980</v>
      </c>
      <c r="I49" t="s">
        <v>263</v>
      </c>
      <c r="J49" t="s">
        <v>369</v>
      </c>
      <c r="K49" t="s">
        <v>370</v>
      </c>
      <c r="L49" s="2" t="str">
        <f>UPPER(Tableau1[[#This Row],[Country]]) &amp; " " &amp; UPPER(Tableau1[[#This Row],[City]])</f>
        <v>VENEZUELA I. DE MARGARITA</v>
      </c>
    </row>
    <row r="50" spans="1:12" x14ac:dyDescent="0.25">
      <c r="A50" t="s">
        <v>371</v>
      </c>
      <c r="B50" t="s">
        <v>372</v>
      </c>
      <c r="C50" t="s">
        <v>373</v>
      </c>
      <c r="D50" t="s">
        <v>166</v>
      </c>
      <c r="E50" t="s">
        <v>374</v>
      </c>
      <c r="F50" t="s">
        <v>375</v>
      </c>
      <c r="G50" t="s">
        <v>254</v>
      </c>
      <c r="H50">
        <v>97219</v>
      </c>
      <c r="I50" t="s">
        <v>255</v>
      </c>
      <c r="J50" t="s">
        <v>376</v>
      </c>
      <c r="K50" t="s">
        <v>377</v>
      </c>
      <c r="L50" s="2" t="str">
        <f>UPPER(Tableau1[[#This Row],[Country]]) &amp; " " &amp; UPPER(Tableau1[[#This Row],[City]])</f>
        <v>USA PORTLAND</v>
      </c>
    </row>
    <row r="51" spans="1:12" x14ac:dyDescent="0.25">
      <c r="A51" t="s">
        <v>378</v>
      </c>
      <c r="B51" t="s">
        <v>379</v>
      </c>
      <c r="C51" t="s">
        <v>380</v>
      </c>
      <c r="D51" t="s">
        <v>65</v>
      </c>
      <c r="E51" t="s">
        <v>381</v>
      </c>
      <c r="F51" t="s">
        <v>382</v>
      </c>
      <c r="G51" t="s">
        <v>13</v>
      </c>
      <c r="H51">
        <v>24100</v>
      </c>
      <c r="I51" t="s">
        <v>218</v>
      </c>
      <c r="J51" t="s">
        <v>383</v>
      </c>
      <c r="K51" t="s">
        <v>384</v>
      </c>
      <c r="L51" s="2" t="str">
        <f>UPPER(Tableau1[[#This Row],[Country]]) &amp; " " &amp; UPPER(Tableau1[[#This Row],[City]])</f>
        <v>ITALY BERGAMO</v>
      </c>
    </row>
    <row r="52" spans="1:12" x14ac:dyDescent="0.25">
      <c r="A52" t="s">
        <v>385</v>
      </c>
      <c r="B52" t="s">
        <v>386</v>
      </c>
      <c r="C52" t="s">
        <v>387</v>
      </c>
      <c r="D52" t="s">
        <v>106</v>
      </c>
      <c r="E52" t="s">
        <v>388</v>
      </c>
      <c r="F52" t="s">
        <v>389</v>
      </c>
      <c r="G52" t="s">
        <v>13</v>
      </c>
      <c r="H52" t="s">
        <v>390</v>
      </c>
      <c r="I52" t="s">
        <v>391</v>
      </c>
      <c r="J52" t="s">
        <v>392</v>
      </c>
      <c r="K52" t="s">
        <v>393</v>
      </c>
      <c r="L52" s="2" t="str">
        <f>UPPER(Tableau1[[#This Row],[Country]]) &amp; " " &amp; UPPER(Tableau1[[#This Row],[City]])</f>
        <v>BELGIUM BRUXELLES</v>
      </c>
    </row>
    <row r="53" spans="1:12" x14ac:dyDescent="0.25">
      <c r="A53" t="s">
        <v>394</v>
      </c>
      <c r="B53" t="s">
        <v>395</v>
      </c>
      <c r="C53" t="s">
        <v>396</v>
      </c>
      <c r="D53" t="s">
        <v>175</v>
      </c>
      <c r="E53" t="s">
        <v>397</v>
      </c>
      <c r="F53" t="s">
        <v>398</v>
      </c>
      <c r="G53" t="s">
        <v>399</v>
      </c>
      <c r="H53" t="s">
        <v>400</v>
      </c>
      <c r="I53" t="s">
        <v>94</v>
      </c>
      <c r="J53" t="s">
        <v>401</v>
      </c>
      <c r="K53" t="s">
        <v>402</v>
      </c>
      <c r="L53" s="2" t="str">
        <f>UPPER(Tableau1[[#This Row],[Country]]) &amp; " " &amp; UPPER(Tableau1[[#This Row],[City]])</f>
        <v>CANADA MONTRÉAL</v>
      </c>
    </row>
    <row r="54" spans="1:12" x14ac:dyDescent="0.25">
      <c r="A54" t="s">
        <v>403</v>
      </c>
      <c r="B54" t="s">
        <v>404</v>
      </c>
      <c r="C54" t="s">
        <v>405</v>
      </c>
      <c r="D54" t="s">
        <v>175</v>
      </c>
      <c r="E54" t="s">
        <v>406</v>
      </c>
      <c r="F54" t="s">
        <v>407</v>
      </c>
      <c r="G54" t="s">
        <v>13</v>
      </c>
      <c r="H54">
        <v>4179</v>
      </c>
      <c r="I54" t="s">
        <v>14</v>
      </c>
      <c r="J54" t="s">
        <v>408</v>
      </c>
      <c r="K54" t="s">
        <v>13</v>
      </c>
      <c r="L54" s="2" t="str">
        <f>UPPER(Tableau1[[#This Row],[Country]]) &amp; " " &amp; UPPER(Tableau1[[#This Row],[City]])</f>
        <v>GERMANY LEIPZIG</v>
      </c>
    </row>
    <row r="55" spans="1:12" x14ac:dyDescent="0.25">
      <c r="A55" t="s">
        <v>409</v>
      </c>
      <c r="B55" t="s">
        <v>410</v>
      </c>
      <c r="C55" t="s">
        <v>411</v>
      </c>
      <c r="D55" t="s">
        <v>128</v>
      </c>
      <c r="E55" t="s">
        <v>412</v>
      </c>
      <c r="F55" t="s">
        <v>40</v>
      </c>
      <c r="G55" t="s">
        <v>13</v>
      </c>
      <c r="H55" t="s">
        <v>413</v>
      </c>
      <c r="I55" t="s">
        <v>42</v>
      </c>
      <c r="J55" t="s">
        <v>414</v>
      </c>
      <c r="K55" t="s">
        <v>415</v>
      </c>
      <c r="L55" s="2" t="str">
        <f>UPPER(Tableau1[[#This Row],[Country]]) &amp; " " &amp; UPPER(Tableau1[[#This Row],[City]])</f>
        <v>UK LONDON</v>
      </c>
    </row>
    <row r="56" spans="1:12" x14ac:dyDescent="0.25">
      <c r="A56" t="s">
        <v>416</v>
      </c>
      <c r="B56" t="s">
        <v>417</v>
      </c>
      <c r="C56" t="s">
        <v>418</v>
      </c>
      <c r="D56" t="s">
        <v>106</v>
      </c>
      <c r="E56" t="s">
        <v>419</v>
      </c>
      <c r="F56" t="s">
        <v>108</v>
      </c>
      <c r="G56" t="s">
        <v>13</v>
      </c>
      <c r="H56">
        <v>1010</v>
      </c>
      <c r="I56" t="s">
        <v>109</v>
      </c>
      <c r="J56" t="s">
        <v>420</v>
      </c>
      <c r="K56" t="s">
        <v>421</v>
      </c>
      <c r="L56" s="2" t="str">
        <f>UPPER(Tableau1[[#This Row],[Country]]) &amp; " " &amp; UPPER(Tableau1[[#This Row],[City]])</f>
        <v>ARGENTINA BUENOS AIRES</v>
      </c>
    </row>
    <row r="57" spans="1:12" x14ac:dyDescent="0.25">
      <c r="A57" t="s">
        <v>422</v>
      </c>
      <c r="B57" t="s">
        <v>423</v>
      </c>
      <c r="C57" t="s">
        <v>424</v>
      </c>
      <c r="D57" t="s">
        <v>17</v>
      </c>
      <c r="E57" t="s">
        <v>425</v>
      </c>
      <c r="F57" t="s">
        <v>426</v>
      </c>
      <c r="G57" t="s">
        <v>427</v>
      </c>
      <c r="H57">
        <v>99508</v>
      </c>
      <c r="I57" t="s">
        <v>255</v>
      </c>
      <c r="J57" t="s">
        <v>428</v>
      </c>
      <c r="K57" t="s">
        <v>429</v>
      </c>
      <c r="L57" s="2" t="str">
        <f>UPPER(Tableau1[[#This Row],[Country]]) &amp; " " &amp; UPPER(Tableau1[[#This Row],[City]])</f>
        <v>USA ANCHORAGE</v>
      </c>
    </row>
    <row r="58" spans="1:12" x14ac:dyDescent="0.25">
      <c r="A58" t="s">
        <v>430</v>
      </c>
      <c r="B58" t="s">
        <v>431</v>
      </c>
      <c r="C58" t="s">
        <v>432</v>
      </c>
      <c r="D58" t="s">
        <v>25</v>
      </c>
      <c r="E58" t="s">
        <v>433</v>
      </c>
      <c r="F58" t="s">
        <v>434</v>
      </c>
      <c r="G58" t="s">
        <v>13</v>
      </c>
      <c r="H58">
        <v>50739</v>
      </c>
      <c r="I58" t="s">
        <v>14</v>
      </c>
      <c r="J58" t="s">
        <v>435</v>
      </c>
      <c r="K58" t="s">
        <v>436</v>
      </c>
      <c r="L58" s="2" t="str">
        <f>UPPER(Tableau1[[#This Row],[Country]]) &amp; " " &amp; UPPER(Tableau1[[#This Row],[City]])</f>
        <v>GERMANY KÖLN</v>
      </c>
    </row>
    <row r="59" spans="1:12" x14ac:dyDescent="0.25">
      <c r="A59" t="s">
        <v>437</v>
      </c>
      <c r="B59" t="s">
        <v>438</v>
      </c>
      <c r="C59" t="s">
        <v>439</v>
      </c>
      <c r="D59" t="s">
        <v>25</v>
      </c>
      <c r="E59" t="s">
        <v>440</v>
      </c>
      <c r="F59" t="s">
        <v>441</v>
      </c>
      <c r="G59" t="s">
        <v>13</v>
      </c>
      <c r="H59">
        <v>75012</v>
      </c>
      <c r="I59" t="s">
        <v>68</v>
      </c>
      <c r="J59" t="s">
        <v>442</v>
      </c>
      <c r="K59" t="s">
        <v>443</v>
      </c>
      <c r="L59" s="2" t="str">
        <f>UPPER(Tableau1[[#This Row],[Country]]) &amp; " " &amp; UPPER(Tableau1[[#This Row],[City]])</f>
        <v>FRANCE PARIS</v>
      </c>
    </row>
    <row r="60" spans="1:12" x14ac:dyDescent="0.25">
      <c r="A60" t="s">
        <v>444</v>
      </c>
      <c r="B60" t="s">
        <v>445</v>
      </c>
      <c r="C60" t="s">
        <v>446</v>
      </c>
      <c r="D60" t="s">
        <v>17</v>
      </c>
      <c r="E60" t="s">
        <v>447</v>
      </c>
      <c r="F60" t="s">
        <v>27</v>
      </c>
      <c r="G60" t="s">
        <v>13</v>
      </c>
      <c r="H60">
        <v>5033</v>
      </c>
      <c r="I60" t="s">
        <v>28</v>
      </c>
      <c r="J60" t="s">
        <v>448</v>
      </c>
      <c r="K60" t="s">
        <v>449</v>
      </c>
      <c r="L60" s="2" t="str">
        <f>UPPER(Tableau1[[#This Row],[Country]]) &amp; " " &amp; UPPER(Tableau1[[#This Row],[City]])</f>
        <v>MEXICO MÉXICO D.F.</v>
      </c>
    </row>
    <row r="61" spans="1:12" x14ac:dyDescent="0.25">
      <c r="A61" t="s">
        <v>450</v>
      </c>
      <c r="B61" t="s">
        <v>451</v>
      </c>
      <c r="C61" t="s">
        <v>452</v>
      </c>
      <c r="D61" t="s">
        <v>166</v>
      </c>
      <c r="E61" t="s">
        <v>453</v>
      </c>
      <c r="F61" t="s">
        <v>454</v>
      </c>
      <c r="G61" t="s">
        <v>13</v>
      </c>
      <c r="H61">
        <v>5020</v>
      </c>
      <c r="I61" t="s">
        <v>169</v>
      </c>
      <c r="J61" t="s">
        <v>455</v>
      </c>
      <c r="K61" t="s">
        <v>456</v>
      </c>
      <c r="L61" s="2" t="str">
        <f>UPPER(Tableau1[[#This Row],[Country]]) &amp; " " &amp; UPPER(Tableau1[[#This Row],[City]])</f>
        <v>AUSTRIA SALZBURG</v>
      </c>
    </row>
    <row r="62" spans="1:12" x14ac:dyDescent="0.25">
      <c r="A62" t="s">
        <v>457</v>
      </c>
      <c r="B62" t="s">
        <v>458</v>
      </c>
      <c r="C62" t="s">
        <v>459</v>
      </c>
      <c r="D62" t="s">
        <v>17</v>
      </c>
      <c r="E62" t="s">
        <v>460</v>
      </c>
      <c r="F62" t="s">
        <v>225</v>
      </c>
      <c r="G62" t="s">
        <v>13</v>
      </c>
      <c r="H62">
        <v>1756</v>
      </c>
      <c r="I62" t="s">
        <v>226</v>
      </c>
      <c r="J62" t="s">
        <v>461</v>
      </c>
      <c r="K62" t="s">
        <v>13</v>
      </c>
      <c r="L62" s="2" t="str">
        <f>UPPER(Tableau1[[#This Row],[Country]]) &amp; " " &amp; UPPER(Tableau1[[#This Row],[City]])</f>
        <v>PORTUGAL LISBOA</v>
      </c>
    </row>
    <row r="63" spans="1:12" x14ac:dyDescent="0.25">
      <c r="A63" t="s">
        <v>462</v>
      </c>
      <c r="B63" t="s">
        <v>463</v>
      </c>
      <c r="C63" t="s">
        <v>464</v>
      </c>
      <c r="D63" t="s">
        <v>89</v>
      </c>
      <c r="E63" t="s">
        <v>465</v>
      </c>
      <c r="F63" t="s">
        <v>270</v>
      </c>
      <c r="G63" t="s">
        <v>271</v>
      </c>
      <c r="H63" t="s">
        <v>466</v>
      </c>
      <c r="I63" t="s">
        <v>133</v>
      </c>
      <c r="J63" t="s">
        <v>467</v>
      </c>
      <c r="K63" t="s">
        <v>468</v>
      </c>
      <c r="L63" s="2" t="str">
        <f>UPPER(Tableau1[[#This Row],[Country]]) &amp; " " &amp; UPPER(Tableau1[[#This Row],[City]])</f>
        <v>BRAZIL RIO DE JANEIRO</v>
      </c>
    </row>
    <row r="64" spans="1:12" x14ac:dyDescent="0.25">
      <c r="A64" t="s">
        <v>469</v>
      </c>
      <c r="B64" t="s">
        <v>470</v>
      </c>
      <c r="C64" t="s">
        <v>471</v>
      </c>
      <c r="D64" t="s">
        <v>175</v>
      </c>
      <c r="E64" t="s">
        <v>472</v>
      </c>
      <c r="F64" t="s">
        <v>130</v>
      </c>
      <c r="G64" t="s">
        <v>131</v>
      </c>
      <c r="H64" t="s">
        <v>473</v>
      </c>
      <c r="I64" t="s">
        <v>133</v>
      </c>
      <c r="J64" t="s">
        <v>474</v>
      </c>
      <c r="K64" t="s">
        <v>13</v>
      </c>
      <c r="L64" s="2" t="str">
        <f>UPPER(Tableau1[[#This Row],[Country]]) &amp; " " &amp; UPPER(Tableau1[[#This Row],[City]])</f>
        <v>BRAZIL SAO PAULO</v>
      </c>
    </row>
    <row r="65" spans="1:12" x14ac:dyDescent="0.25">
      <c r="A65" t="s">
        <v>475</v>
      </c>
      <c r="B65" t="s">
        <v>476</v>
      </c>
      <c r="C65" t="s">
        <v>477</v>
      </c>
      <c r="D65" t="s">
        <v>89</v>
      </c>
      <c r="E65" t="s">
        <v>478</v>
      </c>
      <c r="F65" t="s">
        <v>479</v>
      </c>
      <c r="G65" t="s">
        <v>13</v>
      </c>
      <c r="H65">
        <v>1307</v>
      </c>
      <c r="I65" t="s">
        <v>14</v>
      </c>
      <c r="J65" t="s">
        <v>480</v>
      </c>
      <c r="K65" t="s">
        <v>13</v>
      </c>
      <c r="L65" s="2" t="str">
        <f>UPPER(Tableau1[[#This Row],[Country]]) &amp; " " &amp; UPPER(Tableau1[[#This Row],[City]])</f>
        <v>GERMANY CUNEWALDE</v>
      </c>
    </row>
    <row r="66" spans="1:12" x14ac:dyDescent="0.25">
      <c r="A66" t="s">
        <v>481</v>
      </c>
      <c r="B66" t="s">
        <v>482</v>
      </c>
      <c r="C66" t="s">
        <v>483</v>
      </c>
      <c r="D66" t="s">
        <v>17</v>
      </c>
      <c r="E66" t="s">
        <v>484</v>
      </c>
      <c r="F66" t="s">
        <v>108</v>
      </c>
      <c r="G66" t="s">
        <v>13</v>
      </c>
      <c r="H66">
        <v>1010</v>
      </c>
      <c r="I66" t="s">
        <v>109</v>
      </c>
      <c r="J66" t="s">
        <v>485</v>
      </c>
      <c r="K66" t="s">
        <v>486</v>
      </c>
      <c r="L66" s="2" t="str">
        <f>UPPER(Tableau1[[#This Row],[Country]]) &amp; " " &amp; UPPER(Tableau1[[#This Row],[City]])</f>
        <v>ARGENTINA BUENOS AIRES</v>
      </c>
    </row>
    <row r="67" spans="1:12" x14ac:dyDescent="0.25">
      <c r="A67" t="s">
        <v>487</v>
      </c>
      <c r="B67" t="s">
        <v>488</v>
      </c>
      <c r="C67" t="s">
        <v>489</v>
      </c>
      <c r="D67" t="s">
        <v>490</v>
      </c>
      <c r="E67" t="s">
        <v>491</v>
      </c>
      <c r="F67" t="s">
        <v>492</v>
      </c>
      <c r="G67" t="s">
        <v>493</v>
      </c>
      <c r="H67">
        <v>87110</v>
      </c>
      <c r="I67" t="s">
        <v>255</v>
      </c>
      <c r="J67" t="s">
        <v>494</v>
      </c>
      <c r="K67" t="s">
        <v>495</v>
      </c>
      <c r="L67" s="2" t="str">
        <f>UPPER(Tableau1[[#This Row],[Country]]) &amp; " " &amp; UPPER(Tableau1[[#This Row],[City]])</f>
        <v>USA ALBUQUERQUE</v>
      </c>
    </row>
    <row r="68" spans="1:12" x14ac:dyDescent="0.25">
      <c r="A68" t="s">
        <v>496</v>
      </c>
      <c r="B68" t="s">
        <v>497</v>
      </c>
      <c r="C68" t="s">
        <v>498</v>
      </c>
      <c r="D68" t="s">
        <v>128</v>
      </c>
      <c r="E68" t="s">
        <v>499</v>
      </c>
      <c r="F68" t="s">
        <v>500</v>
      </c>
      <c r="G68" t="s">
        <v>13</v>
      </c>
      <c r="H68">
        <v>42100</v>
      </c>
      <c r="I68" t="s">
        <v>218</v>
      </c>
      <c r="J68" t="s">
        <v>501</v>
      </c>
      <c r="K68" t="s">
        <v>502</v>
      </c>
      <c r="L68" s="2" t="str">
        <f>UPPER(Tableau1[[#This Row],[Country]]) &amp; " " &amp; UPPER(Tableau1[[#This Row],[City]])</f>
        <v>ITALY REGGIO EMILIA</v>
      </c>
    </row>
    <row r="69" spans="1:12" x14ac:dyDescent="0.25">
      <c r="A69" t="s">
        <v>503</v>
      </c>
      <c r="B69" t="s">
        <v>504</v>
      </c>
      <c r="C69" t="s">
        <v>505</v>
      </c>
      <c r="D69" t="s">
        <v>188</v>
      </c>
      <c r="E69" t="s">
        <v>506</v>
      </c>
      <c r="F69" t="s">
        <v>270</v>
      </c>
      <c r="G69" t="s">
        <v>271</v>
      </c>
      <c r="H69" t="s">
        <v>507</v>
      </c>
      <c r="I69" t="s">
        <v>133</v>
      </c>
      <c r="J69" t="s">
        <v>508</v>
      </c>
      <c r="K69" t="s">
        <v>13</v>
      </c>
      <c r="L69" s="2" t="str">
        <f>UPPER(Tableau1[[#This Row],[Country]]) &amp; " " &amp; UPPER(Tableau1[[#This Row],[City]])</f>
        <v>BRAZIL RIO DE JANEIRO</v>
      </c>
    </row>
    <row r="70" spans="1:12" x14ac:dyDescent="0.25">
      <c r="A70" t="s">
        <v>509</v>
      </c>
      <c r="B70" t="s">
        <v>510</v>
      </c>
      <c r="C70" t="s">
        <v>511</v>
      </c>
      <c r="D70" t="s">
        <v>166</v>
      </c>
      <c r="E70" t="s">
        <v>512</v>
      </c>
      <c r="F70" t="s">
        <v>513</v>
      </c>
      <c r="G70" t="s">
        <v>13</v>
      </c>
      <c r="H70">
        <v>1203</v>
      </c>
      <c r="I70" t="s">
        <v>123</v>
      </c>
      <c r="J70" t="s">
        <v>514</v>
      </c>
      <c r="K70" t="s">
        <v>13</v>
      </c>
      <c r="L70" s="2" t="str">
        <f>UPPER(Tableau1[[#This Row],[Country]]) &amp; " " &amp; UPPER(Tableau1[[#This Row],[City]])</f>
        <v>SWITZERLAND GENÈVE</v>
      </c>
    </row>
    <row r="71" spans="1:12" x14ac:dyDescent="0.25">
      <c r="A71" t="s">
        <v>515</v>
      </c>
      <c r="B71" t="s">
        <v>516</v>
      </c>
      <c r="C71" t="s">
        <v>517</v>
      </c>
      <c r="D71" t="s">
        <v>89</v>
      </c>
      <c r="E71" t="s">
        <v>518</v>
      </c>
      <c r="F71" t="s">
        <v>75</v>
      </c>
      <c r="G71" t="s">
        <v>13</v>
      </c>
      <c r="H71">
        <v>28001</v>
      </c>
      <c r="I71" t="s">
        <v>76</v>
      </c>
      <c r="J71" t="s">
        <v>519</v>
      </c>
      <c r="K71" t="s">
        <v>520</v>
      </c>
      <c r="L71" s="2" t="str">
        <f>UPPER(Tableau1[[#This Row],[Country]]) &amp; " " &amp; UPPER(Tableau1[[#This Row],[City]])</f>
        <v>SPAIN MADRID</v>
      </c>
    </row>
    <row r="72" spans="1:12" x14ac:dyDescent="0.25">
      <c r="A72" t="s">
        <v>521</v>
      </c>
      <c r="B72" t="s">
        <v>522</v>
      </c>
      <c r="C72" t="s">
        <v>523</v>
      </c>
      <c r="D72" t="s">
        <v>25</v>
      </c>
      <c r="E72" t="s">
        <v>524</v>
      </c>
      <c r="F72" t="s">
        <v>525</v>
      </c>
      <c r="G72" t="s">
        <v>13</v>
      </c>
      <c r="H72">
        <v>4110</v>
      </c>
      <c r="I72" t="s">
        <v>526</v>
      </c>
      <c r="J72" t="s">
        <v>527</v>
      </c>
      <c r="K72" t="s">
        <v>528</v>
      </c>
      <c r="L72" s="2" t="str">
        <f>UPPER(Tableau1[[#This Row],[Country]]) &amp; " " &amp; UPPER(Tableau1[[#This Row],[City]])</f>
        <v>NORWAY STAVERN</v>
      </c>
    </row>
    <row r="73" spans="1:12" x14ac:dyDescent="0.25">
      <c r="A73" t="s">
        <v>529</v>
      </c>
      <c r="B73" t="s">
        <v>530</v>
      </c>
      <c r="C73" t="s">
        <v>531</v>
      </c>
      <c r="D73" t="s">
        <v>17</v>
      </c>
      <c r="E73" t="s">
        <v>532</v>
      </c>
      <c r="F73" t="s">
        <v>533</v>
      </c>
      <c r="G73" t="s">
        <v>534</v>
      </c>
      <c r="H73">
        <v>83720</v>
      </c>
      <c r="I73" t="s">
        <v>255</v>
      </c>
      <c r="J73" t="s">
        <v>535</v>
      </c>
      <c r="K73" t="s">
        <v>13</v>
      </c>
      <c r="L73" s="2" t="str">
        <f>UPPER(Tableau1[[#This Row],[Country]]) &amp; " " &amp; UPPER(Tableau1[[#This Row],[City]])</f>
        <v>USA BOISE</v>
      </c>
    </row>
    <row r="74" spans="1:12" x14ac:dyDescent="0.25">
      <c r="A74" t="s">
        <v>536</v>
      </c>
      <c r="B74" t="s">
        <v>537</v>
      </c>
      <c r="C74" t="s">
        <v>538</v>
      </c>
      <c r="D74" t="s">
        <v>166</v>
      </c>
      <c r="E74" t="s">
        <v>539</v>
      </c>
      <c r="F74" t="s">
        <v>40</v>
      </c>
      <c r="G74" t="s">
        <v>13</v>
      </c>
      <c r="H74" t="s">
        <v>540</v>
      </c>
      <c r="I74" t="s">
        <v>42</v>
      </c>
      <c r="J74" t="s">
        <v>541</v>
      </c>
      <c r="K74" t="s">
        <v>542</v>
      </c>
      <c r="L74" s="2" t="str">
        <f>UPPER(Tableau1[[#This Row],[Country]]) &amp; " " &amp; UPPER(Tableau1[[#This Row],[City]])</f>
        <v>UK LONDON</v>
      </c>
    </row>
    <row r="75" spans="1:12" x14ac:dyDescent="0.25">
      <c r="A75" t="s">
        <v>543</v>
      </c>
      <c r="B75" t="s">
        <v>544</v>
      </c>
      <c r="C75" t="s">
        <v>545</v>
      </c>
      <c r="D75" t="s">
        <v>25</v>
      </c>
      <c r="E75" t="s">
        <v>546</v>
      </c>
      <c r="F75" t="s">
        <v>547</v>
      </c>
      <c r="G75" t="s">
        <v>13</v>
      </c>
      <c r="H75">
        <v>1734</v>
      </c>
      <c r="I75" t="s">
        <v>548</v>
      </c>
      <c r="J75" t="s">
        <v>549</v>
      </c>
      <c r="K75" t="s">
        <v>550</v>
      </c>
      <c r="L75" s="2" t="str">
        <f>UPPER(Tableau1[[#This Row],[Country]]) &amp; " " &amp; UPPER(Tableau1[[#This Row],[City]])</f>
        <v>DENMARK KOBENHAVN</v>
      </c>
    </row>
    <row r="76" spans="1:12" x14ac:dyDescent="0.25">
      <c r="A76" t="s">
        <v>551</v>
      </c>
      <c r="B76" t="s">
        <v>552</v>
      </c>
      <c r="C76" t="s">
        <v>553</v>
      </c>
      <c r="D76" t="s">
        <v>65</v>
      </c>
      <c r="E76" t="s">
        <v>554</v>
      </c>
      <c r="F76" t="s">
        <v>441</v>
      </c>
      <c r="G76" t="s">
        <v>13</v>
      </c>
      <c r="H76">
        <v>75016</v>
      </c>
      <c r="I76" t="s">
        <v>68</v>
      </c>
      <c r="J76" t="s">
        <v>555</v>
      </c>
      <c r="K76" t="s">
        <v>556</v>
      </c>
      <c r="L76" s="2" t="str">
        <f>UPPER(Tableau1[[#This Row],[Country]]) &amp; " " &amp; UPPER(Tableau1[[#This Row],[City]])</f>
        <v>FRANCE PARIS</v>
      </c>
    </row>
    <row r="77" spans="1:12" x14ac:dyDescent="0.25">
      <c r="A77" t="s">
        <v>557</v>
      </c>
      <c r="B77" t="s">
        <v>558</v>
      </c>
      <c r="C77" t="s">
        <v>559</v>
      </c>
      <c r="D77" t="s">
        <v>166</v>
      </c>
      <c r="E77" t="s">
        <v>560</v>
      </c>
      <c r="F77" t="s">
        <v>561</v>
      </c>
      <c r="G77" t="s">
        <v>562</v>
      </c>
      <c r="H77">
        <v>82520</v>
      </c>
      <c r="I77" t="s">
        <v>255</v>
      </c>
      <c r="J77" t="s">
        <v>563</v>
      </c>
      <c r="K77" t="s">
        <v>564</v>
      </c>
      <c r="L77" s="2" t="str">
        <f>UPPER(Tableau1[[#This Row],[Country]]) &amp; " " &amp; UPPER(Tableau1[[#This Row],[City]])</f>
        <v>USA LANDER</v>
      </c>
    </row>
    <row r="78" spans="1:12" x14ac:dyDescent="0.25">
      <c r="A78" t="s">
        <v>565</v>
      </c>
      <c r="B78" t="s">
        <v>566</v>
      </c>
      <c r="C78" t="s">
        <v>567</v>
      </c>
      <c r="D78" t="s">
        <v>89</v>
      </c>
      <c r="E78" t="s">
        <v>568</v>
      </c>
      <c r="F78" t="s">
        <v>569</v>
      </c>
      <c r="G78" t="s">
        <v>13</v>
      </c>
      <c r="H78" t="s">
        <v>570</v>
      </c>
      <c r="I78" t="s">
        <v>391</v>
      </c>
      <c r="J78" t="s">
        <v>571</v>
      </c>
      <c r="K78" t="s">
        <v>572</v>
      </c>
      <c r="L78" s="2" t="str">
        <f>UPPER(Tableau1[[#This Row],[Country]]) &amp; " " &amp; UPPER(Tableau1[[#This Row],[City]])</f>
        <v>BELGIUM CHARLEROI</v>
      </c>
    </row>
    <row r="79" spans="1:12" x14ac:dyDescent="0.25">
      <c r="A79" t="s">
        <v>573</v>
      </c>
      <c r="B79" t="s">
        <v>574</v>
      </c>
      <c r="C79" t="s">
        <v>575</v>
      </c>
      <c r="D79" t="s">
        <v>65</v>
      </c>
      <c r="E79" t="s">
        <v>576</v>
      </c>
      <c r="F79" t="s">
        <v>375</v>
      </c>
      <c r="G79" t="s">
        <v>254</v>
      </c>
      <c r="H79">
        <v>97201</v>
      </c>
      <c r="I79" t="s">
        <v>255</v>
      </c>
      <c r="J79" t="s">
        <v>577</v>
      </c>
      <c r="K79" t="s">
        <v>13</v>
      </c>
      <c r="L79" s="2" t="str">
        <f>UPPER(Tableau1[[#This Row],[Country]]) &amp; " " &amp; UPPER(Tableau1[[#This Row],[City]])</f>
        <v>USA PORTLAND</v>
      </c>
    </row>
    <row r="80" spans="1:12" x14ac:dyDescent="0.25">
      <c r="A80" t="s">
        <v>578</v>
      </c>
      <c r="B80" t="s">
        <v>579</v>
      </c>
      <c r="C80" t="s">
        <v>580</v>
      </c>
      <c r="D80" t="s">
        <v>175</v>
      </c>
      <c r="E80" t="s">
        <v>581</v>
      </c>
      <c r="F80" t="s">
        <v>582</v>
      </c>
      <c r="G80" t="s">
        <v>583</v>
      </c>
      <c r="H80">
        <v>59801</v>
      </c>
      <c r="I80" t="s">
        <v>255</v>
      </c>
      <c r="J80" t="s">
        <v>584</v>
      </c>
      <c r="K80" t="s">
        <v>585</v>
      </c>
      <c r="L80" s="2" t="str">
        <f>UPPER(Tableau1[[#This Row],[Country]]) &amp; " " &amp; UPPER(Tableau1[[#This Row],[City]])</f>
        <v>USA BUTTE</v>
      </c>
    </row>
    <row r="81" spans="1:12" x14ac:dyDescent="0.25">
      <c r="A81" t="s">
        <v>586</v>
      </c>
      <c r="B81" t="s">
        <v>587</v>
      </c>
      <c r="C81" t="s">
        <v>588</v>
      </c>
      <c r="D81" t="s">
        <v>65</v>
      </c>
      <c r="E81" t="s">
        <v>589</v>
      </c>
      <c r="F81" t="s">
        <v>590</v>
      </c>
      <c r="G81" t="s">
        <v>13</v>
      </c>
      <c r="H81">
        <v>44087</v>
      </c>
      <c r="I81" t="s">
        <v>14</v>
      </c>
      <c r="J81" t="s">
        <v>591</v>
      </c>
      <c r="K81" t="s">
        <v>592</v>
      </c>
      <c r="L81" s="2" t="str">
        <f>UPPER(Tableau1[[#This Row],[Country]]) &amp; " " &amp; UPPER(Tableau1[[#This Row],[City]])</f>
        <v>GERMANY MÜNSTER</v>
      </c>
    </row>
    <row r="82" spans="1:12" x14ac:dyDescent="0.25">
      <c r="A82" t="s">
        <v>593</v>
      </c>
      <c r="B82" t="s">
        <v>594</v>
      </c>
      <c r="C82" t="s">
        <v>595</v>
      </c>
      <c r="D82" t="s">
        <v>25</v>
      </c>
      <c r="E82" t="s">
        <v>596</v>
      </c>
      <c r="F82" t="s">
        <v>27</v>
      </c>
      <c r="G82" t="s">
        <v>13</v>
      </c>
      <c r="H82">
        <v>5033</v>
      </c>
      <c r="I82" t="s">
        <v>28</v>
      </c>
      <c r="J82" t="s">
        <v>597</v>
      </c>
      <c r="K82" t="s">
        <v>13</v>
      </c>
      <c r="L82" s="2" t="str">
        <f>UPPER(Tableau1[[#This Row],[Country]]) &amp; " " &amp; UPPER(Tableau1[[#This Row],[City]])</f>
        <v>MEXICO MÉXICO D.F.</v>
      </c>
    </row>
    <row r="83" spans="1:12" x14ac:dyDescent="0.25">
      <c r="A83" t="s">
        <v>598</v>
      </c>
      <c r="B83" t="s">
        <v>599</v>
      </c>
      <c r="C83" t="s">
        <v>600</v>
      </c>
      <c r="D83" t="s">
        <v>17</v>
      </c>
      <c r="E83" t="s">
        <v>601</v>
      </c>
      <c r="F83" t="s">
        <v>130</v>
      </c>
      <c r="G83" t="s">
        <v>131</v>
      </c>
      <c r="H83" t="s">
        <v>602</v>
      </c>
      <c r="I83" t="s">
        <v>133</v>
      </c>
      <c r="J83" t="s">
        <v>603</v>
      </c>
      <c r="K83" t="s">
        <v>604</v>
      </c>
      <c r="L83" s="2" t="str">
        <f>UPPER(Tableau1[[#This Row],[Country]]) &amp; " " &amp; UPPER(Tableau1[[#This Row],[City]])</f>
        <v>BRAZIL SAO PAULO</v>
      </c>
    </row>
    <row r="84" spans="1:12" x14ac:dyDescent="0.25">
      <c r="A84" t="s">
        <v>605</v>
      </c>
      <c r="B84" t="s">
        <v>606</v>
      </c>
      <c r="C84" t="s">
        <v>607</v>
      </c>
      <c r="D84" t="s">
        <v>128</v>
      </c>
      <c r="E84" t="s">
        <v>608</v>
      </c>
      <c r="F84" t="s">
        <v>609</v>
      </c>
      <c r="G84" t="s">
        <v>338</v>
      </c>
      <c r="H84">
        <v>98034</v>
      </c>
      <c r="I84" t="s">
        <v>255</v>
      </c>
      <c r="J84" t="s">
        <v>610</v>
      </c>
      <c r="K84" t="s">
        <v>611</v>
      </c>
      <c r="L84" s="2" t="str">
        <f>UPPER(Tableau1[[#This Row],[Country]]) &amp; " " &amp; UPPER(Tableau1[[#This Row],[City]])</f>
        <v>USA KIRKLAND</v>
      </c>
    </row>
    <row r="85" spans="1:12" x14ac:dyDescent="0.25">
      <c r="A85" t="s">
        <v>612</v>
      </c>
      <c r="B85" t="s">
        <v>613</v>
      </c>
      <c r="C85" t="s">
        <v>614</v>
      </c>
      <c r="D85" t="s">
        <v>166</v>
      </c>
      <c r="E85" t="s">
        <v>615</v>
      </c>
      <c r="F85" t="s">
        <v>616</v>
      </c>
      <c r="G85" t="s">
        <v>13</v>
      </c>
      <c r="H85">
        <v>8200</v>
      </c>
      <c r="I85" t="s">
        <v>548</v>
      </c>
      <c r="J85" t="s">
        <v>617</v>
      </c>
      <c r="K85" t="s">
        <v>618</v>
      </c>
      <c r="L85" s="2" t="str">
        <f>UPPER(Tableau1[[#This Row],[Country]]) &amp; " " &amp; UPPER(Tableau1[[#This Row],[City]])</f>
        <v>DENMARK ÅRHUS</v>
      </c>
    </row>
    <row r="86" spans="1:12" x14ac:dyDescent="0.25">
      <c r="A86" t="s">
        <v>619</v>
      </c>
      <c r="B86" t="s">
        <v>620</v>
      </c>
      <c r="C86" t="s">
        <v>621</v>
      </c>
      <c r="D86" t="s">
        <v>106</v>
      </c>
      <c r="E86" t="s">
        <v>622</v>
      </c>
      <c r="F86" t="s">
        <v>623</v>
      </c>
      <c r="G86" t="s">
        <v>13</v>
      </c>
      <c r="H86">
        <v>69004</v>
      </c>
      <c r="I86" t="s">
        <v>68</v>
      </c>
      <c r="J86" t="s">
        <v>624</v>
      </c>
      <c r="K86" t="s">
        <v>625</v>
      </c>
      <c r="L86" s="2" t="str">
        <f>UPPER(Tableau1[[#This Row],[Country]]) &amp; " " &amp; UPPER(Tableau1[[#This Row],[City]])</f>
        <v>FRANCE LYON</v>
      </c>
    </row>
    <row r="87" spans="1:12" x14ac:dyDescent="0.25">
      <c r="A87" t="s">
        <v>626</v>
      </c>
      <c r="B87" t="s">
        <v>627</v>
      </c>
      <c r="C87" t="s">
        <v>628</v>
      </c>
      <c r="D87" t="s">
        <v>89</v>
      </c>
      <c r="E87" t="s">
        <v>629</v>
      </c>
      <c r="F87" t="s">
        <v>630</v>
      </c>
      <c r="G87" t="s">
        <v>13</v>
      </c>
      <c r="H87">
        <v>51100</v>
      </c>
      <c r="I87" t="s">
        <v>68</v>
      </c>
      <c r="J87" t="s">
        <v>631</v>
      </c>
      <c r="K87" t="s">
        <v>632</v>
      </c>
      <c r="L87" s="2" t="str">
        <f>UPPER(Tableau1[[#This Row],[Country]]) &amp; " " &amp; UPPER(Tableau1[[#This Row],[City]])</f>
        <v>FRANCE REIMS</v>
      </c>
    </row>
    <row r="88" spans="1:12" x14ac:dyDescent="0.25">
      <c r="A88" t="s">
        <v>633</v>
      </c>
      <c r="B88" t="s">
        <v>634</v>
      </c>
      <c r="C88" t="s">
        <v>635</v>
      </c>
      <c r="D88" t="s">
        <v>17</v>
      </c>
      <c r="E88" t="s">
        <v>636</v>
      </c>
      <c r="F88" t="s">
        <v>637</v>
      </c>
      <c r="G88" t="s">
        <v>13</v>
      </c>
      <c r="H88">
        <v>70563</v>
      </c>
      <c r="I88" t="s">
        <v>14</v>
      </c>
      <c r="J88" t="s">
        <v>638</v>
      </c>
      <c r="K88" t="s">
        <v>639</v>
      </c>
      <c r="L88" s="2" t="str">
        <f>UPPER(Tableau1[[#This Row],[Country]]) &amp; " " &amp; UPPER(Tableau1[[#This Row],[City]])</f>
        <v>GERMANY STUTTGART</v>
      </c>
    </row>
    <row r="89" spans="1:12" x14ac:dyDescent="0.25">
      <c r="A89" t="s">
        <v>640</v>
      </c>
      <c r="B89" t="s">
        <v>641</v>
      </c>
      <c r="C89" t="s">
        <v>642</v>
      </c>
      <c r="D89" t="s">
        <v>89</v>
      </c>
      <c r="E89" t="s">
        <v>643</v>
      </c>
      <c r="F89" t="s">
        <v>644</v>
      </c>
      <c r="G89" t="s">
        <v>13</v>
      </c>
      <c r="H89">
        <v>90110</v>
      </c>
      <c r="I89" t="s">
        <v>645</v>
      </c>
      <c r="J89" t="s">
        <v>646</v>
      </c>
      <c r="K89" t="s">
        <v>646</v>
      </c>
      <c r="L89" s="2" t="str">
        <f>UPPER(Tableau1[[#This Row],[Country]]) &amp; " " &amp; UPPER(Tableau1[[#This Row],[City]])</f>
        <v>FINLAND OULU</v>
      </c>
    </row>
    <row r="90" spans="1:12" x14ac:dyDescent="0.25">
      <c r="A90" t="s">
        <v>647</v>
      </c>
      <c r="B90" t="s">
        <v>648</v>
      </c>
      <c r="C90" t="s">
        <v>649</v>
      </c>
      <c r="D90" t="s">
        <v>166</v>
      </c>
      <c r="E90" t="s">
        <v>650</v>
      </c>
      <c r="F90" t="s">
        <v>651</v>
      </c>
      <c r="G90" t="s">
        <v>131</v>
      </c>
      <c r="H90" t="s">
        <v>652</v>
      </c>
      <c r="I90" t="s">
        <v>133</v>
      </c>
      <c r="J90" t="s">
        <v>653</v>
      </c>
      <c r="K90" t="s">
        <v>13</v>
      </c>
      <c r="L90" s="2" t="str">
        <f>UPPER(Tableau1[[#This Row],[Country]]) &amp; " " &amp; UPPER(Tableau1[[#This Row],[City]])</f>
        <v>BRAZIL RESENDE</v>
      </c>
    </row>
    <row r="91" spans="1:12" x14ac:dyDescent="0.25">
      <c r="A91" t="s">
        <v>654</v>
      </c>
      <c r="B91" t="s">
        <v>655</v>
      </c>
      <c r="C91" t="s">
        <v>656</v>
      </c>
      <c r="D91" t="s">
        <v>25</v>
      </c>
      <c r="E91" t="s">
        <v>657</v>
      </c>
      <c r="F91" t="s">
        <v>658</v>
      </c>
      <c r="G91" t="s">
        <v>338</v>
      </c>
      <c r="H91">
        <v>98128</v>
      </c>
      <c r="I91" t="s">
        <v>255</v>
      </c>
      <c r="J91" t="s">
        <v>659</v>
      </c>
      <c r="K91" t="s">
        <v>660</v>
      </c>
      <c r="L91" s="2" t="str">
        <f>UPPER(Tableau1[[#This Row],[Country]]) &amp; " " &amp; UPPER(Tableau1[[#This Row],[City]])</f>
        <v>USA SEATTLE</v>
      </c>
    </row>
    <row r="92" spans="1:12" x14ac:dyDescent="0.25">
      <c r="A92" t="s">
        <v>661</v>
      </c>
      <c r="B92" t="s">
        <v>662</v>
      </c>
      <c r="C92" t="s">
        <v>663</v>
      </c>
      <c r="D92" t="s">
        <v>664</v>
      </c>
      <c r="E92" t="s">
        <v>665</v>
      </c>
      <c r="F92" t="s">
        <v>666</v>
      </c>
      <c r="G92" t="s">
        <v>13</v>
      </c>
      <c r="H92">
        <v>21240</v>
      </c>
      <c r="I92" t="s">
        <v>645</v>
      </c>
      <c r="J92" t="s">
        <v>667</v>
      </c>
      <c r="K92" t="s">
        <v>667</v>
      </c>
      <c r="L92" s="2" t="str">
        <f>UPPER(Tableau1[[#This Row],[Country]]) &amp; " " &amp; UPPER(Tableau1[[#This Row],[City]])</f>
        <v>FINLAND HELSINKI</v>
      </c>
    </row>
    <row r="93" spans="1:12" x14ac:dyDescent="0.25">
      <c r="A93" t="s">
        <v>668</v>
      </c>
      <c r="B93" t="s">
        <v>669</v>
      </c>
      <c r="C93" t="s">
        <v>670</v>
      </c>
      <c r="D93" t="s">
        <v>25</v>
      </c>
      <c r="E93" t="s">
        <v>671</v>
      </c>
      <c r="F93" t="s">
        <v>672</v>
      </c>
      <c r="G93" t="s">
        <v>13</v>
      </c>
      <c r="H93" t="s">
        <v>673</v>
      </c>
      <c r="I93" t="s">
        <v>674</v>
      </c>
      <c r="J93" t="s">
        <v>675</v>
      </c>
      <c r="K93" t="s">
        <v>675</v>
      </c>
      <c r="L93" s="2" t="str">
        <f>UPPER(Tableau1[[#This Row],[Country]]) &amp; " " &amp; UPPER(Tableau1[[#This Row],[City]])</f>
        <v>POLAND WARSZAWA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Customers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Philippe MASINA</dc:creator>
  <cp:keywords/>
  <dc:description/>
  <cp:lastModifiedBy>Philippe MASINA</cp:lastModifiedBy>
  <cp:revision/>
  <dcterms:created xsi:type="dcterms:W3CDTF">2021-01-11T13:15:37Z</dcterms:created>
  <dcterms:modified xsi:type="dcterms:W3CDTF">2024-09-20T13:47:13Z</dcterms:modified>
  <cp:category/>
  <cp:contentStatus/>
</cp:coreProperties>
</file>